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Projects\lavender_keys\lavender_moogle\"/>
    </mc:Choice>
  </mc:AlternateContent>
  <xr:revisionPtr revIDLastSave="0" documentId="13_ncr:1_{EA17B238-CB0A-432D-B85C-E31A8C8F41E7}" xr6:coauthVersionLast="47" xr6:coauthVersionMax="47" xr10:uidLastSave="{00000000-0000-0000-0000-000000000000}"/>
  <bookViews>
    <workbookView xWindow="-120" yWindow="-120" windowWidth="38640" windowHeight="21390" activeTab="7" xr2:uid="{00000000-000D-0000-FFFF-FFFF00000000}"/>
  </bookViews>
  <sheets>
    <sheet name="PLD" sheetId="1" r:id="rId1"/>
    <sheet name="GNB" sheetId="2" r:id="rId2"/>
    <sheet name="DRK" sheetId="5" r:id="rId3"/>
    <sheet name="SMN" sheetId="3" r:id="rId4"/>
    <sheet name="SCH" sheetId="4" r:id="rId5"/>
    <sheet name="BRD" sheetId="7" r:id="rId6"/>
    <sheet name="DNC" sheetId="6" r:id="rId7"/>
    <sheet name="MNK" sheetId="8" r:id="rId8"/>
  </sheets>
  <definedNames>
    <definedName name="_xlnm._FilterDatabase" localSheetId="1" hidden="1">GNB!$D$1:$D$40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8" l="1"/>
</calcChain>
</file>

<file path=xl/sharedStrings.xml><?xml version="1.0" encoding="utf-8"?>
<sst xmlns="http://schemas.openxmlformats.org/spreadsheetml/2006/main" count="1379" uniqueCount="495">
  <si>
    <t>Fast Blade</t>
  </si>
  <si>
    <t>Riot Blade Ready</t>
  </si>
  <si>
    <t>Royal Authority Ready</t>
  </si>
  <si>
    <t>Royal Authority</t>
  </si>
  <si>
    <t>Supplication Ready</t>
  </si>
  <si>
    <t>Supplication</t>
  </si>
  <si>
    <t>Sepulchre Ready</t>
  </si>
  <si>
    <t>Sepulchre</t>
  </si>
  <si>
    <t>Divine Might</t>
  </si>
  <si>
    <t>Holy Spirit</t>
  </si>
  <si>
    <t>Goring Blade</t>
  </si>
  <si>
    <t>Goring Blade Ready</t>
  </si>
  <si>
    <t>Imperator</t>
  </si>
  <si>
    <t>Confiteor Ready</t>
  </si>
  <si>
    <t>Confiteor</t>
  </si>
  <si>
    <t>Blade of Faith Ready</t>
  </si>
  <si>
    <t>Blade of Valor Ready</t>
  </si>
  <si>
    <t>Blade of Valor</t>
  </si>
  <si>
    <t>Blade of Honor Ready</t>
  </si>
  <si>
    <t>Blade of Honor</t>
  </si>
  <si>
    <t>Expiacion</t>
  </si>
  <si>
    <t>Circle of Scorn</t>
  </si>
  <si>
    <t>Intervene</t>
  </si>
  <si>
    <t>Shield Lob</t>
  </si>
  <si>
    <t>name</t>
  </si>
  <si>
    <t>modifier</t>
  </si>
  <si>
    <t>key</t>
  </si>
  <si>
    <t>n</t>
  </si>
  <si>
    <t>a</t>
  </si>
  <si>
    <t>s</t>
  </si>
  <si>
    <t>GCD</t>
  </si>
  <si>
    <t>Custom buff</t>
  </si>
  <si>
    <t>Buff</t>
  </si>
  <si>
    <t>oGCD</t>
  </si>
  <si>
    <t>duration</t>
  </si>
  <si>
    <t>cooldown</t>
  </si>
  <si>
    <t>spell_type</t>
  </si>
  <si>
    <t>gcd unavailable</t>
  </si>
  <si>
    <t>give_status</t>
  </si>
  <si>
    <t>remove_status</t>
  </si>
  <si>
    <t>Atonement</t>
  </si>
  <si>
    <t>Atonement Ready</t>
  </si>
  <si>
    <t>Atonement Ready;Divine Might</t>
  </si>
  <si>
    <t>Riot Blade</t>
  </si>
  <si>
    <t>Blade of Faith</t>
  </si>
  <si>
    <t>Blade of Truth Ready</t>
  </si>
  <si>
    <t>Blade of Truth</t>
  </si>
  <si>
    <t>Should remove authority</t>
  </si>
  <si>
    <t>Fight or Flight</t>
  </si>
  <si>
    <t>Fight or Flight Buff</t>
  </si>
  <si>
    <t>Fight or Flight Buff;Goring Blade Ready</t>
  </si>
  <si>
    <t>Keen Edge</t>
  </si>
  <si>
    <t>Brutal Shell Ready</t>
  </si>
  <si>
    <t>Brutal Shell</t>
  </si>
  <si>
    <t>Solid Barrel Ready</t>
  </si>
  <si>
    <t>Solid Barrel</t>
  </si>
  <si>
    <t>Burst Strike</t>
  </si>
  <si>
    <t>Hypervelocity</t>
  </si>
  <si>
    <t>Double Down</t>
  </si>
  <si>
    <t>Bloodfest</t>
  </si>
  <si>
    <t>Reign of Beasts</t>
  </si>
  <si>
    <t>Noble Blood Ready</t>
  </si>
  <si>
    <t>Noble Blood</t>
  </si>
  <si>
    <t>Gnashing Fang</t>
  </si>
  <si>
    <t>Ready to Rip</t>
  </si>
  <si>
    <t>Jugular Rip</t>
  </si>
  <si>
    <t>Savage Claw Ready</t>
  </si>
  <si>
    <t>Savage Claw</t>
  </si>
  <si>
    <t>Ready to Tear</t>
  </si>
  <si>
    <t>Abdomen Tear</t>
  </si>
  <si>
    <t>Wicked Talon Ready</t>
  </si>
  <si>
    <t>Wicked Talon</t>
  </si>
  <si>
    <t>Eye Gouge</t>
  </si>
  <si>
    <t>Blasting Zone</t>
  </si>
  <si>
    <t>Bow Shock</t>
  </si>
  <si>
    <t>Lighting Shot</t>
  </si>
  <si>
    <t>No Mercy</t>
  </si>
  <si>
    <t>Sonic Break</t>
  </si>
  <si>
    <t>No Mercy Buff</t>
  </si>
  <si>
    <t>Fated Circle</t>
  </si>
  <si>
    <t>Shield Bash</t>
  </si>
  <si>
    <t>stacks_a</t>
  </si>
  <si>
    <t>Ready to Rip; Savage Claw Ready</t>
  </si>
  <si>
    <t>Ready to Tear;Wicked Talon Ready</t>
  </si>
  <si>
    <t>Ready to Gouge</t>
  </si>
  <si>
    <t>Ready to Blast</t>
  </si>
  <si>
    <t>Ready to Blast;Ready to Rip;Ready to Tear;Ready to Gouge</t>
  </si>
  <si>
    <t>Ready to Reign</t>
  </si>
  <si>
    <t>Ready to Break</t>
  </si>
  <si>
    <t>Ready to Break;No Mercy Buff</t>
  </si>
  <si>
    <t>Lion Heart Ready</t>
  </si>
  <si>
    <t>Solid Barrel Ready;Ready to Blast;Noble Blood Ready;Lion Heart Ready;Ready to Rip;Savage Claw Ready;Ready to Tear;Wicked Talon Ready;Ready to Gouge</t>
  </si>
  <si>
    <t>Brutal Shell Ready;Ready to Blast;Noble Blood Ready;Lion Heart Ready;Ready to Rip;Savage Claw Ready;Ready to Tear;Wicked Talon Ready;Ready to Gouge</t>
  </si>
  <si>
    <t>Ready to Reign;Ready to Blast;Noble Blood Ready;Lion Heart Ready;Ready to Rip;Savage Claw Ready;Ready to Tear;Wicked Talon Ready;Ready to Gouge</t>
  </si>
  <si>
    <t>Noble Blood Ready;Ready to Blast;Noble Blood Ready;Lion Heart Ready;Ready to Rip;Savage Claw Ready;Ready to Tear;Wicked Talon Ready;Ready to Gouge</t>
  </si>
  <si>
    <t>Lion Heart</t>
  </si>
  <si>
    <t>Lion Heart Ready;Ready to Blast;Noble Blood Ready;Lion Heart Ready;Ready to Rip;Savage Claw Ready;Ready to Tear;Wicked Talon Ready;Ready to Gouge</t>
  </si>
  <si>
    <t>Ready to Blast;Noble Blood Ready;Lion Heart Ready;Ready to Rip;Savage Claw Ready;Ready to Tear;Wicked Talon Ready;Ready to Gouge</t>
  </si>
  <si>
    <t>Savage Claw Ready;Ready to Blast;Noble Blood Ready;Lion Heart Ready;Ready to Rip;Savage Claw Ready;Ready to Tear;Wicked Talon Ready;Ready to Gouge</t>
  </si>
  <si>
    <t>Wicked Talon Ready;Ready to Blast;Noble Blood Ready;Lion Heart Ready;Ready to Rip;Savage Claw Ready;Ready to Tear;Wicked Talon Ready;Ready to Gouge</t>
  </si>
  <si>
    <t>Ready to Break;Ready to Blast;Ready to Rip;Ready to Tear;Ready to Gouge</t>
  </si>
  <si>
    <t>stacks_b</t>
  </si>
  <si>
    <t xml:space="preserve">Aetherflow </t>
  </si>
  <si>
    <t>Attunments</t>
  </si>
  <si>
    <t>Summon Carbuncle</t>
  </si>
  <si>
    <t>Swiftcast Buff</t>
  </si>
  <si>
    <t>Ruin III</t>
  </si>
  <si>
    <t>Change during big summons</t>
  </si>
  <si>
    <t>Astral Impulse</t>
  </si>
  <si>
    <t>Fountain of Fire</t>
  </si>
  <si>
    <t>Umbral Impulse</t>
  </si>
  <si>
    <t>Tri-disaster</t>
  </si>
  <si>
    <t>Astral Flare</t>
  </si>
  <si>
    <t>aoe</t>
  </si>
  <si>
    <t>Brand of Purgatory</t>
  </si>
  <si>
    <t>Umbral Flare</t>
  </si>
  <si>
    <t>Energy Drain</t>
  </si>
  <si>
    <t>Further Ruin</t>
  </si>
  <si>
    <t>If no stack only</t>
  </si>
  <si>
    <t>Energy Siphon</t>
  </si>
  <si>
    <t>Necrotize</t>
  </si>
  <si>
    <t>Under Buff</t>
  </si>
  <si>
    <t>Painflare</t>
  </si>
  <si>
    <t>Ruin IV</t>
  </si>
  <si>
    <t>Big Summon Cooldown</t>
  </si>
  <si>
    <t>Big summon cast</t>
  </si>
  <si>
    <t>Summon Bahamut</t>
  </si>
  <si>
    <t>Dreadwyrm Trance;Garuda Ready;Ifrit Ready;Titan Ready;Big Summon Cooldown;Ekindle Ready;Flare Ready;Big Summon Cooldown</t>
  </si>
  <si>
    <t>Garuda;Ifrit;Titan;Crimson Cyclone Ready;Crimson Strike Ready;Slipstream Ready;Mountain Buster Ready</t>
  </si>
  <si>
    <t>Summon Phoenix</t>
  </si>
  <si>
    <t>Firebird Trance;Garuda Ready;Ifrit Ready;Titan Ready;Big Summon Cooldown;Ekindle Ready;Flare Ready;Big Summon Cooldown</t>
  </si>
  <si>
    <t>Summon Solar Bahamut</t>
  </si>
  <si>
    <t>Lightwyrm Trance;Lux Solaris Ready;Garuda Ready;Ifrit Ready;Titan Ready;Big Summon Cooldown;Ekindle Ready;Flare Ready;Big Summon Cooldown</t>
  </si>
  <si>
    <t>Dreadwyrm Trance</t>
  </si>
  <si>
    <t>Firebird Trance</t>
  </si>
  <si>
    <t>Lightwyrm Trance</t>
  </si>
  <si>
    <t>Ekindle Ready</t>
  </si>
  <si>
    <t>Enkindle Bahamut</t>
  </si>
  <si>
    <t>Enkindle Phoenix</t>
  </si>
  <si>
    <t>Enkindle Solar Bahamut</t>
  </si>
  <si>
    <t>Flare Ready</t>
  </si>
  <si>
    <t>Deathflare</t>
  </si>
  <si>
    <t>Rekindle</t>
  </si>
  <si>
    <t>heal - Auto cast end of summon</t>
  </si>
  <si>
    <t>Sunflare</t>
  </si>
  <si>
    <t>Lux Solaris Ready</t>
  </si>
  <si>
    <t>Lux Solaris</t>
  </si>
  <si>
    <t>Ifrit Ready</t>
  </si>
  <si>
    <t>Summon Ifrit II</t>
  </si>
  <si>
    <t>Ifrit;Crimson Cyclone Ready</t>
  </si>
  <si>
    <t>Ifrit Ready;Garuda;Ifrit;Titan;Crimson Cyclone Ready;Crimson Strike Ready;Slipstream Ready;Mountain Buster Ready</t>
  </si>
  <si>
    <t>Ifrit</t>
  </si>
  <si>
    <t>Titan Ready</t>
  </si>
  <si>
    <t>Summon Titan II</t>
  </si>
  <si>
    <t>Titan</t>
  </si>
  <si>
    <t>Titan Ready;Garuda;Ifrit;Titan;Crimson Cyclone Ready;Crimson Strike Ready;Slipstream Ready;Mountain Buster Ready</t>
  </si>
  <si>
    <t>Garuda Ready</t>
  </si>
  <si>
    <t>Summon Garuda II</t>
  </si>
  <si>
    <t>Garuda;Slipstream Ready</t>
  </si>
  <si>
    <t>Garuda Ready;Garuda;Ifrit;Titan;Crimson Cyclone Ready;Crimson Strike Ready;Slipstream Ready;Mountain Buster Ready</t>
  </si>
  <si>
    <t>Garuda</t>
  </si>
  <si>
    <t>Gemshine</t>
  </si>
  <si>
    <t>Ruby Rite</t>
  </si>
  <si>
    <t>Require attunments stacks</t>
  </si>
  <si>
    <t>Topaz Rite</t>
  </si>
  <si>
    <t>Mountain Buster Ready</t>
  </si>
  <si>
    <t>Emerald Rite</t>
  </si>
  <si>
    <t>Precious Brilliance</t>
  </si>
  <si>
    <t>Ruby Catastrophe</t>
  </si>
  <si>
    <t>Topaz Catastrophe</t>
  </si>
  <si>
    <t>Emerald Catastrophe</t>
  </si>
  <si>
    <t>Astral Flow</t>
  </si>
  <si>
    <t>Crimson Cyclone Ready</t>
  </si>
  <si>
    <t>Crimson Cyclone</t>
  </si>
  <si>
    <t>Crimson Strike Ready</t>
  </si>
  <si>
    <t>Crimson Strike</t>
  </si>
  <si>
    <t>Mountain Buster</t>
  </si>
  <si>
    <t>Slipstream Ready</t>
  </si>
  <si>
    <t>Slipstream</t>
  </si>
  <si>
    <t>Slipstream Ready;Swiftcast Buff</t>
  </si>
  <si>
    <t>Searing Light</t>
  </si>
  <si>
    <t>Searing Light Buff;Ruby's Glimmer</t>
  </si>
  <si>
    <t>Searing Light Buff</t>
  </si>
  <si>
    <t>Ruby's Glimmer</t>
  </si>
  <si>
    <t>Searing Flash</t>
  </si>
  <si>
    <t>Swiftcast</t>
  </si>
  <si>
    <t>Addle</t>
  </si>
  <si>
    <t>Physick</t>
  </si>
  <si>
    <t>Resurrection</t>
  </si>
  <si>
    <t>Sleep</t>
  </si>
  <si>
    <t>Lucid Dreaming</t>
  </si>
  <si>
    <t>Radiant Aegis</t>
  </si>
  <si>
    <t>Biolysis</t>
  </si>
  <si>
    <t>Broil IV</t>
  </si>
  <si>
    <t>Ruin II</t>
  </si>
  <si>
    <t>Chain Stratagem</t>
  </si>
  <si>
    <t>Baneful Impaction</t>
  </si>
  <si>
    <t>Hard Slash</t>
  </si>
  <si>
    <t>Syphon Strike</t>
  </si>
  <si>
    <t>Syphon Strike Ready</t>
  </si>
  <si>
    <t>Souleater</t>
  </si>
  <si>
    <t>Souleater Ready</t>
  </si>
  <si>
    <t>Delirium</t>
  </si>
  <si>
    <t>Blood Gauge</t>
  </si>
  <si>
    <t>Abyssal Drain</t>
  </si>
  <si>
    <t>Quietus</t>
  </si>
  <si>
    <t>Scarlet Delirium</t>
  </si>
  <si>
    <t>Shadowbringer</t>
  </si>
  <si>
    <t>Unmend</t>
  </si>
  <si>
    <t>Unleash</t>
  </si>
  <si>
    <t>Stalwart Soul</t>
  </si>
  <si>
    <t>Living Shadow</t>
  </si>
  <si>
    <t>Scorn</t>
  </si>
  <si>
    <t>Disesteem</t>
  </si>
  <si>
    <t>Clone</t>
  </si>
  <si>
    <t>2m Burst</t>
  </si>
  <si>
    <t>Salted Earth</t>
  </si>
  <si>
    <t>Salt and Darkness</t>
  </si>
  <si>
    <t>Salt and Darkness Ready</t>
  </si>
  <si>
    <t>Edge of Shadow</t>
  </si>
  <si>
    <t>Flood of Shadow</t>
  </si>
  <si>
    <t>Blood gauge : 3 free cast et 30 given by blood weapon</t>
  </si>
  <si>
    <t>1m Burst</t>
  </si>
  <si>
    <t>Comeuppance</t>
  </si>
  <si>
    <t>Torcleaver</t>
  </si>
  <si>
    <t>Recent EoS</t>
  </si>
  <si>
    <t>secondary_bar</t>
  </si>
  <si>
    <t>Bloodspiller</t>
  </si>
  <si>
    <t>Scorn;Clone;2m Burst</t>
  </si>
  <si>
    <t>Carve and Spit</t>
  </si>
  <si>
    <t>Cascade</t>
  </si>
  <si>
    <t>Fountain</t>
  </si>
  <si>
    <t>Fountain Ready</t>
  </si>
  <si>
    <t>Windmill</t>
  </si>
  <si>
    <t>Bladeshower</t>
  </si>
  <si>
    <t>Reverse Cascade</t>
  </si>
  <si>
    <t>Fountainfall</t>
  </si>
  <si>
    <t>Rising Windmill</t>
  </si>
  <si>
    <t>Bloodshower</t>
  </si>
  <si>
    <t>Fan Dance</t>
  </si>
  <si>
    <t>Fan Dance II</t>
  </si>
  <si>
    <t>Fan Dance III</t>
  </si>
  <si>
    <t>Fan Dance IV</t>
  </si>
  <si>
    <t>Saber Dance</t>
  </si>
  <si>
    <t>Devilment Buff</t>
  </si>
  <si>
    <t>Starfall Dance</t>
  </si>
  <si>
    <t>Flourishing Starfall</t>
  </si>
  <si>
    <t>Silken Symmetry</t>
  </si>
  <si>
    <t>Silken Flow</t>
  </si>
  <si>
    <t>Technical Step</t>
  </si>
  <si>
    <t>Technical Dancing</t>
  </si>
  <si>
    <t>Last Dance Ready</t>
  </si>
  <si>
    <t>Last Dance</t>
  </si>
  <si>
    <t>Technical Finish</t>
  </si>
  <si>
    <t>Emboite</t>
  </si>
  <si>
    <t>Entrechat</t>
  </si>
  <si>
    <t>Jete</t>
  </si>
  <si>
    <t>Pirouette</t>
  </si>
  <si>
    <t>Special</t>
  </si>
  <si>
    <t>Fans</t>
  </si>
  <si>
    <t>Flourishing Finish</t>
  </si>
  <si>
    <t>Tillana</t>
  </si>
  <si>
    <t>Threefold Fan Dance</t>
  </si>
  <si>
    <t>Fourfold Fan Dance</t>
  </si>
  <si>
    <t>Flourish</t>
  </si>
  <si>
    <t>Standard Step</t>
  </si>
  <si>
    <t>Standard Dancing</t>
  </si>
  <si>
    <t>Standard Finish</t>
  </si>
  <si>
    <t>Quadruple Technical Finish</t>
  </si>
  <si>
    <t>Double Standard Finish</t>
  </si>
  <si>
    <t>Triple Technical Finish</t>
  </si>
  <si>
    <t>Single Standard Finish</t>
  </si>
  <si>
    <t>Technical Step on CD</t>
  </si>
  <si>
    <t>Single Technical Finish</t>
  </si>
  <si>
    <t>Double Technical Finish</t>
  </si>
  <si>
    <t>Standard Step on CD</t>
  </si>
  <si>
    <t>Esprit</t>
  </si>
  <si>
    <t>Technical Finish Buff</t>
  </si>
  <si>
    <t>Flourishing Starfall;Devilment Buff</t>
  </si>
  <si>
    <t>Devilment</t>
  </si>
  <si>
    <t>Technical Dancing;;Technical Step on CD</t>
  </si>
  <si>
    <t>Standard Dancing;Standard Step on CD</t>
  </si>
  <si>
    <t>Follow up high level</t>
  </si>
  <si>
    <t>Flourishing Symmetry</t>
  </si>
  <si>
    <t>Flourishing Flow</t>
  </si>
  <si>
    <t>Finishing Move Ready</t>
  </si>
  <si>
    <t>Finishing Move</t>
  </si>
  <si>
    <t>Standard Step on CD;Last Dance Ready</t>
  </si>
  <si>
    <t>Dance of the Dawn</t>
  </si>
  <si>
    <t>Dance of the Dawn Ready</t>
  </si>
  <si>
    <t>Flourishing Finish;Technical Finish Buff;Dance of the Dawn Ready</t>
  </si>
  <si>
    <t>stacks_a_obsolete</t>
  </si>
  <si>
    <t>Burst Shot</t>
  </si>
  <si>
    <t>Refulgent Arrow</t>
  </si>
  <si>
    <t>Stormbite</t>
  </si>
  <si>
    <t>Caustic Bite</t>
  </si>
  <si>
    <t>Iron Jaws</t>
  </si>
  <si>
    <t>Apex Arrow</t>
  </si>
  <si>
    <t>Blast Arrow</t>
  </si>
  <si>
    <t>Resonant Arrow</t>
  </si>
  <si>
    <t>Radiant Encore</t>
  </si>
  <si>
    <t>Ladonsbite</t>
  </si>
  <si>
    <t>Shadowbite</t>
  </si>
  <si>
    <t>Pitch Perfect</t>
  </si>
  <si>
    <t>Heartbreak Shot</t>
  </si>
  <si>
    <t>Rain of Death</t>
  </si>
  <si>
    <t>Enhanced Army’s Paeon</t>
  </si>
  <si>
    <t>Empyreal Arrow</t>
  </si>
  <si>
    <t>Barrage</t>
  </si>
  <si>
    <t>Raging Strikes</t>
  </si>
  <si>
    <t>Sidewinder</t>
  </si>
  <si>
    <t>Battle Voice</t>
  </si>
  <si>
    <t>Radiant Finale</t>
  </si>
  <si>
    <t>Comment</t>
  </si>
  <si>
    <t>prio song</t>
  </si>
  <si>
    <t>at 3 stack unless end of buff / minuet</t>
  </si>
  <si>
    <t>Use if close to 3 or under buff</t>
  </si>
  <si>
    <t>AOE HBS</t>
  </si>
  <si>
    <t>High priority oGCD</t>
  </si>
  <si>
    <t>Song 2</t>
  </si>
  <si>
    <t>Song 3</t>
  </si>
  <si>
    <t>buff</t>
  </si>
  <si>
    <t>Custom Buff</t>
  </si>
  <si>
    <t>Filler</t>
  </si>
  <si>
    <t>Bloodletter</t>
  </si>
  <si>
    <t>Low level HBS</t>
  </si>
  <si>
    <t>Refresh Dots</t>
  </si>
  <si>
    <t>DoT</t>
  </si>
  <si>
    <t>Hawk’s Eye procs</t>
  </si>
  <si>
    <t>80+, No overcap unless 2m burst soon</t>
  </si>
  <si>
    <t>Apex Arrow follow up at 80+</t>
  </si>
  <si>
    <t>Lvl 96, barrage follow up</t>
  </si>
  <si>
    <t>Lvl 100, Radiant Finale follow up</t>
  </si>
  <si>
    <t>AoE Refulgent Arrow</t>
  </si>
  <si>
    <t>Filler AOE</t>
  </si>
  <si>
    <t>During 2m Buffs</t>
  </si>
  <si>
    <t>Main 2m buff, after minuet</t>
  </si>
  <si>
    <t>Battle Voice Buff</t>
  </si>
  <si>
    <t>Raging Strikes Buff</t>
  </si>
  <si>
    <t>Radiant Finale Buff</t>
  </si>
  <si>
    <t>Barrage Buff</t>
  </si>
  <si>
    <t>simple  oGCD - on CD</t>
  </si>
  <si>
    <t>Blast Arrow Ready</t>
  </si>
  <si>
    <t>Only if 80+</t>
  </si>
  <si>
    <t>Resonant Arrow Ready</t>
  </si>
  <si>
    <t>Radiant Encore Ready</t>
  </si>
  <si>
    <t>Storm DoT</t>
  </si>
  <si>
    <t>Caustic DoT</t>
  </si>
  <si>
    <t>Storm DoT;Caustic DoT</t>
  </si>
  <si>
    <t>Wanderer song</t>
  </si>
  <si>
    <t>Mage song</t>
  </si>
  <si>
    <t>Army song</t>
  </si>
  <si>
    <t>Wanderer song;Mage song</t>
  </si>
  <si>
    <t>Wanderer song;Army song</t>
  </si>
  <si>
    <t>Mage song;Army song</t>
  </si>
  <si>
    <t>Apex</t>
  </si>
  <si>
    <t>Hawk's Eye</t>
  </si>
  <si>
    <t>Ref Arrow ready</t>
  </si>
  <si>
    <t>Code</t>
  </si>
  <si>
    <t>v</t>
  </si>
  <si>
    <t>na</t>
  </si>
  <si>
    <t>the Wanderer's Minuet</t>
  </si>
  <si>
    <t>Mage's Ballad</t>
  </si>
  <si>
    <t>Army's Paeon</t>
  </si>
  <si>
    <t>Impact Imminent</t>
  </si>
  <si>
    <t>Aetherflow</t>
  </si>
  <si>
    <t>Dissipation</t>
  </si>
  <si>
    <t>Dot</t>
  </si>
  <si>
    <t>Burst</t>
  </si>
  <si>
    <t>Impact Imminent;Burst</t>
  </si>
  <si>
    <t>weird temp fix</t>
  </si>
  <si>
    <t>Holy Circle</t>
  </si>
  <si>
    <t>Prominence</t>
  </si>
  <si>
    <t>Prominence Ready</t>
  </si>
  <si>
    <t>Total Eclipse</t>
  </si>
  <si>
    <t>Royal Authority Ready;Blade of Faith Ready;Blade of Truth Ready;Blade of Valor Ready;Prominence Ready</t>
  </si>
  <si>
    <t>Riot Blade Ready;Blade of Faith Ready;Blade of Truth Ready;Blade of Valor Ready;Prominence Ready</t>
  </si>
  <si>
    <t>Riot Blade Ready;Royal Authority Ready;Blade of Faith Ready;Blade of Truth Ready;Blade of Valor Ready</t>
  </si>
  <si>
    <t>Riot Blade Ready;Royal Authority Ready;Blade of Faith Ready;Blade of Truth Ready;Blade of Valor Ready;Prominence Ready</t>
  </si>
  <si>
    <t>Sprint</t>
  </si>
  <si>
    <t>Clemency</t>
  </si>
  <si>
    <t>Blade of Faith Ready;Blade of Truth Ready;Blade of Valor Ready</t>
  </si>
  <si>
    <t>Art of War</t>
  </si>
  <si>
    <t>Summon Eos</t>
  </si>
  <si>
    <t>Improvisation</t>
  </si>
  <si>
    <t>Improvised Finish</t>
  </si>
  <si>
    <t>Improvised Dancing</t>
  </si>
  <si>
    <t>Leaping Opo</t>
  </si>
  <si>
    <t>Dragon Kick</t>
  </si>
  <si>
    <t>Shadow of the Destroyer</t>
  </si>
  <si>
    <t>Rising Raptor</t>
  </si>
  <si>
    <t>Twin Snakes</t>
  </si>
  <si>
    <t>Demolish</t>
  </si>
  <si>
    <t>Four-point Fury</t>
  </si>
  <si>
    <t>Pouncing Coeurl</t>
  </si>
  <si>
    <t>Base Opo</t>
  </si>
  <si>
    <t>Boosted Opo</t>
  </si>
  <si>
    <t>AOE Opo - min 4 targets</t>
  </si>
  <si>
    <t>Rockbreaker</t>
  </si>
  <si>
    <t>Base raprot</t>
  </si>
  <si>
    <t>Boost Raptor</t>
  </si>
  <si>
    <t>AOE Raptor - min 4 targets</t>
  </si>
  <si>
    <t>Base Coeurl - FLANK</t>
  </si>
  <si>
    <t>Botts Coeurl - REAR</t>
  </si>
  <si>
    <t>AOE Coeurl - min 4 targets</t>
  </si>
  <si>
    <t>Enlightened Meditation</t>
  </si>
  <si>
    <t>Enlightenment</t>
  </si>
  <si>
    <t>Out of range filler</t>
  </si>
  <si>
    <t>Chackra spender</t>
  </si>
  <si>
    <t>Besoin de savoir la forme actuelle</t>
  </si>
  <si>
    <t>Besoin de suivre les boosted buff</t>
  </si>
  <si>
    <t>Six-sided star</t>
  </si>
  <si>
    <t>Disengage tool</t>
  </si>
  <si>
    <t>Manual</t>
  </si>
  <si>
    <t>Perfect Balance</t>
  </si>
  <si>
    <t>Start special sequence</t>
  </si>
  <si>
    <t>Besoin de suivre les sequences - laquelle faire, lesquelles faites, dans laquelle on est …</t>
  </si>
  <si>
    <t>En particulier - il y a une barre pour les 3 forme de la sequence du moment. Voir toutes les possibilités</t>
  </si>
  <si>
    <t>Besoin d'une catégorie "en perfectr balance"</t>
  </si>
  <si>
    <t>Besoin dune categorie "burst &amp;m" et "burst 2m"</t>
  </si>
  <si>
    <t>Riddle of Fire</t>
  </si>
  <si>
    <t>Riddle of Wind</t>
  </si>
  <si>
    <t>Masterful Blitz</t>
  </si>
  <si>
    <t>Form shift</t>
  </si>
  <si>
    <t>Force boost</t>
  </si>
  <si>
    <t>1 m burst 1</t>
  </si>
  <si>
    <t>90s burst 2</t>
  </si>
  <si>
    <t>Brotherhood</t>
  </si>
  <si>
    <t>Fire Buff</t>
  </si>
  <si>
    <t>Wind Buff</t>
  </si>
  <si>
    <t>Brother Buff</t>
  </si>
  <si>
    <t>Wind's Rumination</t>
  </si>
  <si>
    <t>Mantra</t>
  </si>
  <si>
    <t>Riddle of Earth</t>
  </si>
  <si>
    <t>Arm's Length</t>
  </si>
  <si>
    <t>Bloodbath</t>
  </si>
  <si>
    <t>Feint</t>
  </si>
  <si>
    <t>Earth Buff</t>
  </si>
  <si>
    <t>Fire's Rumination</t>
  </si>
  <si>
    <t>Wind's Rumination;Wind Buff</t>
  </si>
  <si>
    <t>Fire's Rumination;Fire Buff</t>
  </si>
  <si>
    <t>Earth's Rumination</t>
  </si>
  <si>
    <t>Leg Sweep</t>
  </si>
  <si>
    <t>Thunderclap</t>
  </si>
  <si>
    <t>True North</t>
  </si>
  <si>
    <t>Need to have a potential over on it</t>
  </si>
  <si>
    <t>Opo-opo Form</t>
  </si>
  <si>
    <t>Raptor Form</t>
  </si>
  <si>
    <t>Coeurl Form</t>
  </si>
  <si>
    <t>Give 2 stacks</t>
  </si>
  <si>
    <t>Give 1 stack</t>
  </si>
  <si>
    <t>Give one stack</t>
  </si>
  <si>
    <t>SI on a des stack de formeless, ca ne donne pas de forme…</t>
  </si>
  <si>
    <t>Fixme</t>
  </si>
  <si>
    <t>Silken Symmetry;Flourishing Symmetry</t>
  </si>
  <si>
    <t>Silken Flow;Flourishing Flow</t>
  </si>
  <si>
    <t>FIXME On erase des buffs au lieu d'utiliser les 2</t>
  </si>
  <si>
    <t>Flourishing Symmetry;Flourishing Flow;Threefold Fan Dance;Fourfold Fan Dance;Finishing Move Ready</t>
  </si>
  <si>
    <t>Opo-opo's Fury</t>
  </si>
  <si>
    <t>Raptor's Fury</t>
  </si>
  <si>
    <t>Coeurl's Fury</t>
  </si>
  <si>
    <t>Raptor Form;Opo-opo's Fury</t>
  </si>
  <si>
    <t>Coeurl Form;Raptor's Fury</t>
  </si>
  <si>
    <t>Besoin d egérer les charges … Pour le moment Perfect balance reste le seul truc manuel</t>
  </si>
  <si>
    <t>Balance Buff 3</t>
  </si>
  <si>
    <t>Forbidden Meditation</t>
  </si>
  <si>
    <t>The Forbidden Chakra</t>
  </si>
  <si>
    <t>FIXME FIRE BUFF AT LVL 100</t>
  </si>
  <si>
    <t>Wind's Reply</t>
  </si>
  <si>
    <t>Fire's Reply</t>
  </si>
  <si>
    <t>To be triggered</t>
  </si>
  <si>
    <t>Balance Buff</t>
  </si>
  <si>
    <t>Finisher Buff</t>
  </si>
  <si>
    <t>Celestial</t>
  </si>
  <si>
    <t>Phantom Rush</t>
  </si>
  <si>
    <t>Elixir Burst</t>
  </si>
  <si>
    <t>Rising Phoenix</t>
  </si>
  <si>
    <t>Formless Fist;Opo-opo Form;Opo-opo's Fury</t>
  </si>
  <si>
    <t>Formless Fist;Opo-opo Form</t>
  </si>
  <si>
    <t>Formless Fist;Raptor Form;Raptor's Fury</t>
  </si>
  <si>
    <t>Formless Fist;Raptor Form</t>
  </si>
  <si>
    <t>Formless Fist;Coeurl Form</t>
  </si>
  <si>
    <t>Formless Fist</t>
  </si>
  <si>
    <t>Lunar Start Buff;Solar Start Buff</t>
  </si>
  <si>
    <t>Force Lunar Action</t>
  </si>
  <si>
    <t>Force Solar Action</t>
  </si>
  <si>
    <t>Force Lunar Buff</t>
  </si>
  <si>
    <t>Force Solar Buff</t>
  </si>
  <si>
    <t>Finisher Buff;Force Lunar Buff;Force Solar Buff</t>
  </si>
  <si>
    <t>Opo-opo Form;Raptor form;Coeurl Form</t>
  </si>
  <si>
    <t>Activate Burst</t>
  </si>
  <si>
    <t>Deactivate Burst</t>
  </si>
  <si>
    <t>Delayed Burst</t>
  </si>
  <si>
    <t>c</t>
  </si>
  <si>
    <t>Pot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</si>
</sst>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"/>
  <sheetViews>
    <sheetView workbookViewId="0">
      <selection activeCell="A31" sqref="A31"/>
    </sheetView>
  </sheetViews>
  <sheetFormatPr baseColWidth="10" defaultColWidth="9.140625" defaultRowHeight="15" x14ac:dyDescent="0.25"/>
  <cols>
    <col min="1" max="1" width="20.7109375" bestFit="1" customWidth="1"/>
    <col min="2" max="2" width="11" bestFit="1" customWidth="1"/>
    <col min="4" max="4" width="13.140625" bestFit="1" customWidth="1"/>
    <col min="5" max="5" width="11" bestFit="1" customWidth="1"/>
    <col min="6" max="6" width="12.28515625" bestFit="1" customWidth="1"/>
    <col min="7" max="7" width="28.140625" bestFit="1" customWidth="1"/>
    <col min="8" max="8" width="20.7109375" bestFit="1" customWidth="1"/>
    <col min="9" max="9" width="14.710937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490</v>
      </c>
      <c r="D3" t="s">
        <v>33</v>
      </c>
      <c r="H3" t="s">
        <v>492</v>
      </c>
    </row>
    <row r="4" spans="1:9" x14ac:dyDescent="0.25">
      <c r="A4" t="s">
        <v>491</v>
      </c>
      <c r="D4" t="s">
        <v>33</v>
      </c>
      <c r="G4" t="s">
        <v>492</v>
      </c>
    </row>
    <row r="5" spans="1:9" x14ac:dyDescent="0.25">
      <c r="A5" t="s">
        <v>492</v>
      </c>
      <c r="D5" t="s">
        <v>31</v>
      </c>
      <c r="E5">
        <v>3600000</v>
      </c>
    </row>
    <row r="6" spans="1:9" x14ac:dyDescent="0.25">
      <c r="A6" s="8" t="s">
        <v>0</v>
      </c>
      <c r="B6" t="s">
        <v>27</v>
      </c>
      <c r="C6">
        <v>4</v>
      </c>
      <c r="D6" t="s">
        <v>30</v>
      </c>
      <c r="G6" t="s">
        <v>1</v>
      </c>
      <c r="H6" t="s">
        <v>375</v>
      </c>
    </row>
    <row r="7" spans="1:9" x14ac:dyDescent="0.25">
      <c r="A7" s="8" t="s">
        <v>1</v>
      </c>
      <c r="D7" t="s">
        <v>31</v>
      </c>
      <c r="E7">
        <v>30000</v>
      </c>
    </row>
    <row r="8" spans="1:9" x14ac:dyDescent="0.25">
      <c r="A8" s="8" t="s">
        <v>43</v>
      </c>
      <c r="B8" t="s">
        <v>27</v>
      </c>
      <c r="C8">
        <v>5</v>
      </c>
      <c r="D8" t="s">
        <v>30</v>
      </c>
      <c r="G8" t="s">
        <v>2</v>
      </c>
      <c r="H8" t="s">
        <v>376</v>
      </c>
      <c r="I8" t="s">
        <v>47</v>
      </c>
    </row>
    <row r="9" spans="1:9" x14ac:dyDescent="0.25">
      <c r="A9" s="8" t="s">
        <v>2</v>
      </c>
      <c r="D9" t="s">
        <v>31</v>
      </c>
      <c r="E9">
        <v>30000</v>
      </c>
    </row>
    <row r="10" spans="1:9" x14ac:dyDescent="0.25">
      <c r="A10" s="8" t="s">
        <v>3</v>
      </c>
      <c r="B10" t="s">
        <v>27</v>
      </c>
      <c r="C10">
        <v>6</v>
      </c>
      <c r="D10" t="s">
        <v>30</v>
      </c>
      <c r="G10" t="s">
        <v>42</v>
      </c>
      <c r="H10" t="s">
        <v>375</v>
      </c>
    </row>
    <row r="11" spans="1:9" x14ac:dyDescent="0.25">
      <c r="A11" s="8" t="s">
        <v>41</v>
      </c>
      <c r="D11" t="s">
        <v>32</v>
      </c>
      <c r="E11">
        <v>30000</v>
      </c>
    </row>
    <row r="12" spans="1:9" x14ac:dyDescent="0.25">
      <c r="A12" s="8" t="s">
        <v>40</v>
      </c>
      <c r="B12" t="s">
        <v>27</v>
      </c>
      <c r="C12">
        <v>8</v>
      </c>
      <c r="D12" t="s">
        <v>30</v>
      </c>
      <c r="G12" t="s">
        <v>4</v>
      </c>
      <c r="H12" t="s">
        <v>41</v>
      </c>
    </row>
    <row r="13" spans="1:9" x14ac:dyDescent="0.25">
      <c r="A13" s="8" t="s">
        <v>4</v>
      </c>
      <c r="D13" t="s">
        <v>32</v>
      </c>
      <c r="E13">
        <v>30000</v>
      </c>
    </row>
    <row r="14" spans="1:9" x14ac:dyDescent="0.25">
      <c r="A14" s="8" t="s">
        <v>5</v>
      </c>
      <c r="B14" t="s">
        <v>27</v>
      </c>
      <c r="C14">
        <v>8</v>
      </c>
      <c r="D14" t="s">
        <v>30</v>
      </c>
      <c r="G14" t="s">
        <v>6</v>
      </c>
      <c r="H14" t="s">
        <v>4</v>
      </c>
    </row>
    <row r="15" spans="1:9" x14ac:dyDescent="0.25">
      <c r="A15" s="8" t="s">
        <v>6</v>
      </c>
      <c r="D15" t="s">
        <v>32</v>
      </c>
      <c r="E15">
        <v>30000</v>
      </c>
    </row>
    <row r="16" spans="1:9" x14ac:dyDescent="0.25">
      <c r="A16" s="8" t="s">
        <v>7</v>
      </c>
      <c r="B16" t="s">
        <v>27</v>
      </c>
      <c r="C16">
        <v>8</v>
      </c>
      <c r="D16" t="s">
        <v>30</v>
      </c>
      <c r="H16" t="s">
        <v>6</v>
      </c>
    </row>
    <row r="17" spans="1:8" x14ac:dyDescent="0.25">
      <c r="A17" s="6" t="s">
        <v>374</v>
      </c>
      <c r="B17" t="s">
        <v>29</v>
      </c>
      <c r="C17">
        <v>5</v>
      </c>
      <c r="D17" t="s">
        <v>30</v>
      </c>
      <c r="G17" t="s">
        <v>373</v>
      </c>
      <c r="H17" t="s">
        <v>377</v>
      </c>
    </row>
    <row r="18" spans="1:8" x14ac:dyDescent="0.25">
      <c r="A18" s="6" t="s">
        <v>373</v>
      </c>
      <c r="D18" t="s">
        <v>31</v>
      </c>
      <c r="E18">
        <v>30000</v>
      </c>
      <c r="H18" t="s">
        <v>373</v>
      </c>
    </row>
    <row r="19" spans="1:8" x14ac:dyDescent="0.25">
      <c r="A19" s="6" t="s">
        <v>372</v>
      </c>
      <c r="B19" t="s">
        <v>29</v>
      </c>
      <c r="C19">
        <v>6</v>
      </c>
      <c r="D19" t="s">
        <v>30</v>
      </c>
      <c r="G19" t="s">
        <v>8</v>
      </c>
      <c r="H19" t="s">
        <v>378</v>
      </c>
    </row>
    <row r="20" spans="1:8" x14ac:dyDescent="0.25">
      <c r="A20" s="9" t="s">
        <v>8</v>
      </c>
      <c r="D20" t="s">
        <v>32</v>
      </c>
      <c r="E20">
        <v>30000</v>
      </c>
    </row>
    <row r="21" spans="1:8" x14ac:dyDescent="0.25">
      <c r="A21" s="9" t="s">
        <v>9</v>
      </c>
      <c r="B21" t="s">
        <v>28</v>
      </c>
      <c r="C21">
        <v>8</v>
      </c>
      <c r="D21" t="s">
        <v>30</v>
      </c>
      <c r="H21" t="s">
        <v>8</v>
      </c>
    </row>
    <row r="22" spans="1:8" x14ac:dyDescent="0.25">
      <c r="A22" s="5" t="s">
        <v>371</v>
      </c>
      <c r="B22" t="s">
        <v>29</v>
      </c>
      <c r="C22">
        <v>8</v>
      </c>
      <c r="H22" t="s">
        <v>8</v>
      </c>
    </row>
    <row r="23" spans="1:8" x14ac:dyDescent="0.25">
      <c r="A23" s="10" t="s">
        <v>48</v>
      </c>
      <c r="B23" t="s">
        <v>28</v>
      </c>
      <c r="C23">
        <v>2</v>
      </c>
      <c r="D23" t="s">
        <v>33</v>
      </c>
      <c r="F23">
        <v>60000</v>
      </c>
      <c r="G23" t="s">
        <v>50</v>
      </c>
      <c r="H23" t="s">
        <v>492</v>
      </c>
    </row>
    <row r="24" spans="1:8" x14ac:dyDescent="0.25">
      <c r="A24" s="10" t="s">
        <v>49</v>
      </c>
      <c r="D24" t="s">
        <v>32</v>
      </c>
      <c r="E24">
        <v>20000</v>
      </c>
    </row>
    <row r="25" spans="1:8" x14ac:dyDescent="0.25">
      <c r="A25" s="10" t="s">
        <v>11</v>
      </c>
      <c r="D25" t="s">
        <v>32</v>
      </c>
      <c r="E25">
        <v>30000</v>
      </c>
    </row>
    <row r="26" spans="1:8" x14ac:dyDescent="0.25">
      <c r="A26" s="10" t="s">
        <v>10</v>
      </c>
      <c r="B26" t="s">
        <v>28</v>
      </c>
      <c r="C26">
        <v>2</v>
      </c>
      <c r="D26" t="s">
        <v>30</v>
      </c>
      <c r="H26" t="s">
        <v>11</v>
      </c>
    </row>
    <row r="27" spans="1:8" x14ac:dyDescent="0.25">
      <c r="A27" s="10" t="s">
        <v>12</v>
      </c>
      <c r="B27" t="s">
        <v>28</v>
      </c>
      <c r="C27">
        <v>7</v>
      </c>
      <c r="D27" t="s">
        <v>33</v>
      </c>
      <c r="F27">
        <v>60000</v>
      </c>
      <c r="G27" t="s">
        <v>13</v>
      </c>
    </row>
    <row r="28" spans="1:8" x14ac:dyDescent="0.25">
      <c r="A28" s="10" t="s">
        <v>13</v>
      </c>
      <c r="D28" t="s">
        <v>32</v>
      </c>
      <c r="E28">
        <v>30000</v>
      </c>
    </row>
    <row r="29" spans="1:8" x14ac:dyDescent="0.25">
      <c r="A29" s="10" t="s">
        <v>14</v>
      </c>
      <c r="B29" t="s">
        <v>29</v>
      </c>
      <c r="C29">
        <v>7</v>
      </c>
      <c r="D29" t="s">
        <v>30</v>
      </c>
      <c r="G29" t="s">
        <v>15</v>
      </c>
      <c r="H29" t="s">
        <v>13</v>
      </c>
    </row>
    <row r="30" spans="1:8" x14ac:dyDescent="0.25">
      <c r="A30" s="10" t="s">
        <v>15</v>
      </c>
      <c r="D30" t="s">
        <v>31</v>
      </c>
      <c r="E30">
        <v>30000</v>
      </c>
    </row>
    <row r="31" spans="1:8" x14ac:dyDescent="0.25">
      <c r="A31" s="10" t="s">
        <v>44</v>
      </c>
      <c r="B31" t="s">
        <v>29</v>
      </c>
      <c r="C31">
        <v>7</v>
      </c>
      <c r="D31" t="s">
        <v>30</v>
      </c>
      <c r="G31" t="s">
        <v>45</v>
      </c>
      <c r="H31" t="s">
        <v>15</v>
      </c>
    </row>
    <row r="32" spans="1:8" x14ac:dyDescent="0.25">
      <c r="A32" s="10" t="s">
        <v>45</v>
      </c>
      <c r="D32" t="s">
        <v>31</v>
      </c>
      <c r="E32">
        <v>30000</v>
      </c>
    </row>
    <row r="33" spans="1:8" x14ac:dyDescent="0.25">
      <c r="A33" s="10" t="s">
        <v>46</v>
      </c>
      <c r="B33" t="s">
        <v>29</v>
      </c>
      <c r="C33">
        <v>7</v>
      </c>
      <c r="D33" t="s">
        <v>30</v>
      </c>
      <c r="G33" t="s">
        <v>16</v>
      </c>
      <c r="H33" t="s">
        <v>45</v>
      </c>
    </row>
    <row r="34" spans="1:8" x14ac:dyDescent="0.25">
      <c r="A34" s="10" t="s">
        <v>16</v>
      </c>
      <c r="D34" t="s">
        <v>31</v>
      </c>
      <c r="E34">
        <v>30000</v>
      </c>
    </row>
    <row r="35" spans="1:8" x14ac:dyDescent="0.25">
      <c r="A35" s="10" t="s">
        <v>17</v>
      </c>
      <c r="B35" t="s">
        <v>29</v>
      </c>
      <c r="C35">
        <v>7</v>
      </c>
      <c r="D35" t="s">
        <v>30</v>
      </c>
      <c r="G35" t="s">
        <v>18</v>
      </c>
      <c r="H35" t="s">
        <v>16</v>
      </c>
    </row>
    <row r="36" spans="1:8" x14ac:dyDescent="0.25">
      <c r="A36" s="10" t="s">
        <v>18</v>
      </c>
      <c r="D36" t="s">
        <v>32</v>
      </c>
      <c r="E36">
        <v>30000</v>
      </c>
    </row>
    <row r="37" spans="1:8" x14ac:dyDescent="0.25">
      <c r="A37" s="10" t="s">
        <v>19</v>
      </c>
      <c r="B37" t="s">
        <v>28</v>
      </c>
      <c r="C37">
        <v>7</v>
      </c>
      <c r="D37" t="s">
        <v>33</v>
      </c>
      <c r="H37" t="s">
        <v>18</v>
      </c>
    </row>
    <row r="38" spans="1:8" x14ac:dyDescent="0.25">
      <c r="A38" s="11" t="s">
        <v>20</v>
      </c>
      <c r="B38" t="s">
        <v>28</v>
      </c>
      <c r="C38">
        <v>4</v>
      </c>
      <c r="D38" t="s">
        <v>33</v>
      </c>
      <c r="F38">
        <v>30000</v>
      </c>
    </row>
    <row r="39" spans="1:8" x14ac:dyDescent="0.25">
      <c r="A39" s="11" t="s">
        <v>21</v>
      </c>
      <c r="B39" t="s">
        <v>28</v>
      </c>
      <c r="C39">
        <v>5</v>
      </c>
      <c r="D39" t="s">
        <v>33</v>
      </c>
      <c r="F39">
        <v>30000</v>
      </c>
    </row>
    <row r="40" spans="1:8" x14ac:dyDescent="0.25">
      <c r="A40" s="11" t="s">
        <v>22</v>
      </c>
      <c r="B40" t="s">
        <v>28</v>
      </c>
      <c r="C40">
        <v>1</v>
      </c>
      <c r="D40" t="s">
        <v>33</v>
      </c>
    </row>
    <row r="41" spans="1:8" x14ac:dyDescent="0.25">
      <c r="A41" t="s">
        <v>23</v>
      </c>
      <c r="B41" t="s">
        <v>29</v>
      </c>
      <c r="C41">
        <v>4</v>
      </c>
      <c r="D41" t="s">
        <v>30</v>
      </c>
    </row>
    <row r="42" spans="1:8" x14ac:dyDescent="0.25">
      <c r="A42" t="s">
        <v>80</v>
      </c>
      <c r="B42" t="s">
        <v>27</v>
      </c>
      <c r="C42">
        <v>3</v>
      </c>
      <c r="D42" t="s">
        <v>30</v>
      </c>
    </row>
    <row r="43" spans="1:8" x14ac:dyDescent="0.25">
      <c r="A43" t="s">
        <v>379</v>
      </c>
      <c r="B43" t="s">
        <v>27</v>
      </c>
      <c r="C43">
        <v>1</v>
      </c>
      <c r="D43" t="s">
        <v>33</v>
      </c>
      <c r="E43">
        <v>10000</v>
      </c>
      <c r="F43">
        <v>60000</v>
      </c>
    </row>
    <row r="44" spans="1:8" x14ac:dyDescent="0.25">
      <c r="A44" t="s">
        <v>380</v>
      </c>
      <c r="B44" t="s">
        <v>27</v>
      </c>
      <c r="C44">
        <v>7</v>
      </c>
      <c r="D44" t="s">
        <v>30</v>
      </c>
      <c r="H44" t="s">
        <v>381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2502F-9F7A-4AD9-AC88-345A2195334F}">
  <dimension ref="A1:I40"/>
  <sheetViews>
    <sheetView workbookViewId="0">
      <selection activeCell="B9" sqref="B9"/>
    </sheetView>
  </sheetViews>
  <sheetFormatPr baseColWidth="10" defaultRowHeight="15" x14ac:dyDescent="0.25"/>
  <cols>
    <col min="1" max="1" width="18.8554687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9" s="1" customFormat="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291</v>
      </c>
    </row>
    <row r="2" spans="1:9" x14ac:dyDescent="0.25">
      <c r="A2" t="s">
        <v>37</v>
      </c>
      <c r="D2" t="s">
        <v>31</v>
      </c>
      <c r="E2">
        <v>2500</v>
      </c>
    </row>
    <row r="3" spans="1:9" x14ac:dyDescent="0.25">
      <c r="A3" t="s">
        <v>490</v>
      </c>
      <c r="D3" t="s">
        <v>33</v>
      </c>
      <c r="H3" t="s">
        <v>492</v>
      </c>
    </row>
    <row r="4" spans="1:9" x14ac:dyDescent="0.25">
      <c r="A4" t="s">
        <v>491</v>
      </c>
      <c r="D4" t="s">
        <v>33</v>
      </c>
      <c r="G4" t="s">
        <v>492</v>
      </c>
    </row>
    <row r="5" spans="1:9" x14ac:dyDescent="0.25">
      <c r="A5" t="s">
        <v>492</v>
      </c>
      <c r="D5" t="s">
        <v>31</v>
      </c>
      <c r="E5">
        <v>3600000</v>
      </c>
    </row>
    <row r="6" spans="1:9" x14ac:dyDescent="0.25">
      <c r="A6" t="s">
        <v>51</v>
      </c>
      <c r="B6" t="s">
        <v>27</v>
      </c>
      <c r="C6">
        <v>4</v>
      </c>
      <c r="D6" t="s">
        <v>30</v>
      </c>
      <c r="G6" t="s">
        <v>52</v>
      </c>
      <c r="H6" t="s">
        <v>91</v>
      </c>
    </row>
    <row r="7" spans="1:9" x14ac:dyDescent="0.25">
      <c r="A7" t="s">
        <v>52</v>
      </c>
      <c r="D7" t="s">
        <v>31</v>
      </c>
      <c r="E7">
        <v>30000</v>
      </c>
    </row>
    <row r="8" spans="1:9" x14ac:dyDescent="0.25">
      <c r="A8" t="s">
        <v>53</v>
      </c>
      <c r="B8" t="s">
        <v>27</v>
      </c>
      <c r="C8">
        <v>5</v>
      </c>
      <c r="D8" t="s">
        <v>30</v>
      </c>
      <c r="G8" t="s">
        <v>54</v>
      </c>
      <c r="H8" t="s">
        <v>92</v>
      </c>
    </row>
    <row r="9" spans="1:9" x14ac:dyDescent="0.25">
      <c r="A9" t="s">
        <v>54</v>
      </c>
      <c r="D9" t="s">
        <v>31</v>
      </c>
      <c r="E9">
        <v>30000</v>
      </c>
    </row>
    <row r="10" spans="1:9" x14ac:dyDescent="0.25">
      <c r="A10" t="s">
        <v>55</v>
      </c>
      <c r="B10" t="s">
        <v>27</v>
      </c>
      <c r="C10">
        <v>6</v>
      </c>
      <c r="D10" t="s">
        <v>30</v>
      </c>
      <c r="H10" t="s">
        <v>91</v>
      </c>
      <c r="I10">
        <v>1</v>
      </c>
    </row>
    <row r="11" spans="1:9" x14ac:dyDescent="0.25">
      <c r="A11" t="s">
        <v>56</v>
      </c>
      <c r="B11" t="s">
        <v>27</v>
      </c>
      <c r="C11">
        <v>8</v>
      </c>
      <c r="D11" t="s">
        <v>30</v>
      </c>
      <c r="G11" t="s">
        <v>85</v>
      </c>
      <c r="H11" t="s">
        <v>86</v>
      </c>
      <c r="I11">
        <v>-1</v>
      </c>
    </row>
    <row r="12" spans="1:9" x14ac:dyDescent="0.25">
      <c r="A12" t="s">
        <v>85</v>
      </c>
      <c r="D12" t="s">
        <v>32</v>
      </c>
      <c r="E12">
        <v>10000</v>
      </c>
    </row>
    <row r="13" spans="1:9" x14ac:dyDescent="0.25">
      <c r="A13" t="s">
        <v>57</v>
      </c>
      <c r="B13" t="s">
        <v>28</v>
      </c>
      <c r="C13">
        <v>5</v>
      </c>
      <c r="D13" t="s">
        <v>33</v>
      </c>
      <c r="H13" t="s">
        <v>85</v>
      </c>
    </row>
    <row r="14" spans="1:9" x14ac:dyDescent="0.25">
      <c r="A14" t="s">
        <v>58</v>
      </c>
      <c r="B14" t="s">
        <v>28</v>
      </c>
      <c r="C14">
        <v>6</v>
      </c>
      <c r="D14" t="s">
        <v>30</v>
      </c>
      <c r="F14">
        <v>60000</v>
      </c>
      <c r="H14" t="s">
        <v>86</v>
      </c>
      <c r="I14">
        <v>-1</v>
      </c>
    </row>
    <row r="15" spans="1:9" x14ac:dyDescent="0.25">
      <c r="A15" t="s">
        <v>59</v>
      </c>
      <c r="B15" t="s">
        <v>28</v>
      </c>
      <c r="C15">
        <v>8</v>
      </c>
      <c r="D15" t="s">
        <v>33</v>
      </c>
      <c r="F15">
        <v>120000</v>
      </c>
      <c r="G15" t="s">
        <v>87</v>
      </c>
      <c r="H15" t="s">
        <v>86</v>
      </c>
      <c r="I15">
        <v>3</v>
      </c>
    </row>
    <row r="16" spans="1:9" x14ac:dyDescent="0.25">
      <c r="A16" t="s">
        <v>87</v>
      </c>
      <c r="D16" t="s">
        <v>32</v>
      </c>
      <c r="E16">
        <v>30000</v>
      </c>
    </row>
    <row r="17" spans="1:9" x14ac:dyDescent="0.25">
      <c r="A17" t="s">
        <v>60</v>
      </c>
      <c r="B17" t="s">
        <v>28</v>
      </c>
      <c r="C17">
        <v>8</v>
      </c>
      <c r="D17" t="s">
        <v>30</v>
      </c>
      <c r="G17" t="s">
        <v>61</v>
      </c>
      <c r="H17" t="s">
        <v>93</v>
      </c>
    </row>
    <row r="18" spans="1:9" x14ac:dyDescent="0.25">
      <c r="A18" t="s">
        <v>61</v>
      </c>
      <c r="D18" t="s">
        <v>31</v>
      </c>
      <c r="E18">
        <v>30000</v>
      </c>
    </row>
    <row r="19" spans="1:9" x14ac:dyDescent="0.25">
      <c r="A19" t="s">
        <v>62</v>
      </c>
      <c r="B19" t="s">
        <v>28</v>
      </c>
      <c r="C19">
        <v>8</v>
      </c>
      <c r="D19" t="s">
        <v>30</v>
      </c>
      <c r="G19" t="s">
        <v>90</v>
      </c>
      <c r="H19" t="s">
        <v>94</v>
      </c>
    </row>
    <row r="20" spans="1:9" x14ac:dyDescent="0.25">
      <c r="A20" t="s">
        <v>90</v>
      </c>
      <c r="D20" t="s">
        <v>31</v>
      </c>
      <c r="E20">
        <v>30000</v>
      </c>
    </row>
    <row r="21" spans="1:9" x14ac:dyDescent="0.25">
      <c r="A21" t="s">
        <v>95</v>
      </c>
      <c r="B21" t="s">
        <v>28</v>
      </c>
      <c r="C21">
        <v>8</v>
      </c>
      <c r="D21" t="s">
        <v>30</v>
      </c>
      <c r="H21" t="s">
        <v>96</v>
      </c>
    </row>
    <row r="22" spans="1:9" x14ac:dyDescent="0.25">
      <c r="A22" t="s">
        <v>63</v>
      </c>
      <c r="B22" t="s">
        <v>28</v>
      </c>
      <c r="C22">
        <v>4</v>
      </c>
      <c r="D22" t="s">
        <v>30</v>
      </c>
      <c r="F22">
        <v>30000</v>
      </c>
      <c r="G22" t="s">
        <v>82</v>
      </c>
      <c r="H22" t="s">
        <v>97</v>
      </c>
      <c r="I22">
        <v>-1</v>
      </c>
    </row>
    <row r="23" spans="1:9" x14ac:dyDescent="0.25">
      <c r="A23" t="s">
        <v>64</v>
      </c>
      <c r="D23" t="s">
        <v>32</v>
      </c>
      <c r="E23">
        <v>10000</v>
      </c>
    </row>
    <row r="24" spans="1:9" x14ac:dyDescent="0.25">
      <c r="A24" t="s">
        <v>65</v>
      </c>
      <c r="B24" t="s">
        <v>28</v>
      </c>
      <c r="C24">
        <v>5</v>
      </c>
      <c r="D24" t="s">
        <v>33</v>
      </c>
      <c r="H24" t="s">
        <v>86</v>
      </c>
    </row>
    <row r="25" spans="1:9" x14ac:dyDescent="0.25">
      <c r="A25" t="s">
        <v>66</v>
      </c>
      <c r="D25" t="s">
        <v>31</v>
      </c>
      <c r="E25">
        <v>30000</v>
      </c>
    </row>
    <row r="26" spans="1:9" x14ac:dyDescent="0.25">
      <c r="A26" t="s">
        <v>67</v>
      </c>
      <c r="B26" t="s">
        <v>28</v>
      </c>
      <c r="C26">
        <v>4</v>
      </c>
      <c r="D26" t="s">
        <v>30</v>
      </c>
      <c r="G26" t="s">
        <v>83</v>
      </c>
      <c r="H26" t="s">
        <v>98</v>
      </c>
    </row>
    <row r="27" spans="1:9" x14ac:dyDescent="0.25">
      <c r="A27" t="s">
        <v>68</v>
      </c>
      <c r="D27" t="s">
        <v>32</v>
      </c>
      <c r="E27">
        <v>10000</v>
      </c>
    </row>
    <row r="28" spans="1:9" x14ac:dyDescent="0.25">
      <c r="A28" t="s">
        <v>69</v>
      </c>
      <c r="B28" t="s">
        <v>28</v>
      </c>
      <c r="C28">
        <v>5</v>
      </c>
      <c r="D28" t="s">
        <v>33</v>
      </c>
      <c r="H28" t="s">
        <v>86</v>
      </c>
    </row>
    <row r="29" spans="1:9" x14ac:dyDescent="0.25">
      <c r="A29" t="s">
        <v>70</v>
      </c>
      <c r="D29" t="s">
        <v>31</v>
      </c>
      <c r="E29">
        <v>30000</v>
      </c>
    </row>
    <row r="30" spans="1:9" x14ac:dyDescent="0.25">
      <c r="A30" t="s">
        <v>71</v>
      </c>
      <c r="B30" t="s">
        <v>28</v>
      </c>
      <c r="C30">
        <v>4</v>
      </c>
      <c r="D30" t="s">
        <v>30</v>
      </c>
      <c r="G30" t="s">
        <v>84</v>
      </c>
      <c r="H30" t="s">
        <v>99</v>
      </c>
    </row>
    <row r="31" spans="1:9" x14ac:dyDescent="0.25">
      <c r="A31" t="s">
        <v>84</v>
      </c>
      <c r="D31" t="s">
        <v>32</v>
      </c>
      <c r="E31">
        <v>10000</v>
      </c>
    </row>
    <row r="32" spans="1:9" x14ac:dyDescent="0.25">
      <c r="A32" t="s">
        <v>72</v>
      </c>
      <c r="B32" t="s">
        <v>28</v>
      </c>
      <c r="C32">
        <v>5</v>
      </c>
      <c r="D32" t="s">
        <v>33</v>
      </c>
      <c r="H32" t="s">
        <v>86</v>
      </c>
    </row>
    <row r="33" spans="1:9" x14ac:dyDescent="0.25">
      <c r="A33" t="s">
        <v>73</v>
      </c>
      <c r="B33" t="s">
        <v>27</v>
      </c>
      <c r="C33">
        <v>9</v>
      </c>
      <c r="D33" t="s">
        <v>33</v>
      </c>
      <c r="F33">
        <v>30000</v>
      </c>
    </row>
    <row r="34" spans="1:9" x14ac:dyDescent="0.25">
      <c r="A34" t="s">
        <v>74</v>
      </c>
      <c r="B34" t="s">
        <v>29</v>
      </c>
      <c r="C34">
        <v>9</v>
      </c>
      <c r="D34" t="s">
        <v>33</v>
      </c>
      <c r="F34">
        <v>60000</v>
      </c>
    </row>
    <row r="35" spans="1:9" x14ac:dyDescent="0.25">
      <c r="A35" t="s">
        <v>75</v>
      </c>
      <c r="B35" t="s">
        <v>29</v>
      </c>
      <c r="C35">
        <v>4</v>
      </c>
      <c r="D35" t="s">
        <v>30</v>
      </c>
      <c r="G35" t="s">
        <v>84</v>
      </c>
      <c r="H35" t="s">
        <v>86</v>
      </c>
    </row>
    <row r="36" spans="1:9" x14ac:dyDescent="0.25">
      <c r="A36" t="s">
        <v>76</v>
      </c>
      <c r="B36" t="s">
        <v>28</v>
      </c>
      <c r="C36">
        <v>2</v>
      </c>
      <c r="D36" t="s">
        <v>33</v>
      </c>
      <c r="F36">
        <v>60000</v>
      </c>
      <c r="G36" t="s">
        <v>89</v>
      </c>
    </row>
    <row r="37" spans="1:9" x14ac:dyDescent="0.25">
      <c r="A37" t="s">
        <v>78</v>
      </c>
      <c r="D37" t="s">
        <v>32</v>
      </c>
      <c r="E37">
        <v>20000</v>
      </c>
    </row>
    <row r="38" spans="1:9" x14ac:dyDescent="0.25">
      <c r="A38" t="s">
        <v>88</v>
      </c>
      <c r="D38" t="s">
        <v>32</v>
      </c>
      <c r="E38">
        <v>30000</v>
      </c>
    </row>
    <row r="39" spans="1:9" x14ac:dyDescent="0.25">
      <c r="A39" t="s">
        <v>77</v>
      </c>
      <c r="B39" t="s">
        <v>28</v>
      </c>
      <c r="C39">
        <v>2</v>
      </c>
      <c r="D39" t="s">
        <v>30</v>
      </c>
      <c r="H39" t="s">
        <v>100</v>
      </c>
    </row>
    <row r="40" spans="1:9" x14ac:dyDescent="0.25">
      <c r="A40" t="s">
        <v>79</v>
      </c>
      <c r="B40" t="s">
        <v>29</v>
      </c>
      <c r="C40">
        <v>8</v>
      </c>
      <c r="D40" t="s">
        <v>30</v>
      </c>
      <c r="H40" t="s">
        <v>99</v>
      </c>
      <c r="I40">
        <v>-1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F4B6-DA2C-422A-9A48-B565C13F35E9}">
  <dimension ref="A1:M41"/>
  <sheetViews>
    <sheetView workbookViewId="0">
      <selection activeCell="C18" sqref="C18"/>
    </sheetView>
  </sheetViews>
  <sheetFormatPr baseColWidth="10" defaultRowHeight="15" x14ac:dyDescent="0.25"/>
  <cols>
    <col min="1" max="1" width="22.5703125" bestFit="1" customWidth="1"/>
    <col min="4" max="4" width="13.140625" bestFit="1" customWidth="1"/>
    <col min="5" max="5" width="11" bestFit="1" customWidth="1"/>
    <col min="6" max="6" width="12.28515625" bestFit="1" customWidth="1"/>
    <col min="7" max="8" width="22.5703125" bestFit="1" customWidth="1"/>
    <col min="9" max="9" width="18.5703125" bestFit="1" customWidth="1"/>
    <col min="10" max="10" width="19.140625" bestFit="1" customWidth="1"/>
    <col min="11" max="11" width="18" bestFit="1" customWidth="1"/>
  </cols>
  <sheetData>
    <row r="1" spans="1:13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101</v>
      </c>
      <c r="K1" s="1" t="s">
        <v>226</v>
      </c>
    </row>
    <row r="2" spans="1:13" ht="18.75" x14ac:dyDescent="0.3">
      <c r="A2" s="1"/>
      <c r="B2" s="1"/>
      <c r="C2" s="1"/>
      <c r="D2" s="1"/>
      <c r="E2" s="1"/>
      <c r="F2" s="1"/>
      <c r="G2" s="1"/>
      <c r="H2" s="1"/>
      <c r="I2" s="1" t="s">
        <v>207</v>
      </c>
      <c r="J2" s="1" t="s">
        <v>219</v>
      </c>
      <c r="K2" s="1" t="s">
        <v>203</v>
      </c>
    </row>
    <row r="3" spans="1:13" x14ac:dyDescent="0.25">
      <c r="A3" t="s">
        <v>37</v>
      </c>
      <c r="D3" t="s">
        <v>31</v>
      </c>
      <c r="E3">
        <v>2500</v>
      </c>
    </row>
    <row r="4" spans="1:13" x14ac:dyDescent="0.25">
      <c r="A4" t="s">
        <v>490</v>
      </c>
      <c r="D4" t="s">
        <v>33</v>
      </c>
      <c r="H4" t="s">
        <v>492</v>
      </c>
    </row>
    <row r="5" spans="1:13" x14ac:dyDescent="0.25">
      <c r="A5" t="s">
        <v>491</v>
      </c>
      <c r="D5" t="s">
        <v>33</v>
      </c>
      <c r="G5" t="s">
        <v>492</v>
      </c>
    </row>
    <row r="6" spans="1:13" x14ac:dyDescent="0.25">
      <c r="A6" t="s">
        <v>492</v>
      </c>
      <c r="D6" t="s">
        <v>31</v>
      </c>
      <c r="E6">
        <v>3600000</v>
      </c>
    </row>
    <row r="7" spans="1:13" x14ac:dyDescent="0.25">
      <c r="A7" t="s">
        <v>197</v>
      </c>
      <c r="B7" t="s">
        <v>27</v>
      </c>
      <c r="C7">
        <v>4</v>
      </c>
      <c r="D7" t="s">
        <v>30</v>
      </c>
      <c r="G7" t="s">
        <v>199</v>
      </c>
    </row>
    <row r="8" spans="1:13" x14ac:dyDescent="0.25">
      <c r="A8" t="s">
        <v>199</v>
      </c>
      <c r="D8" t="s">
        <v>31</v>
      </c>
      <c r="E8">
        <v>30000</v>
      </c>
    </row>
    <row r="9" spans="1:13" x14ac:dyDescent="0.25">
      <c r="A9" t="s">
        <v>198</v>
      </c>
      <c r="B9" t="s">
        <v>27</v>
      </c>
      <c r="C9">
        <v>5</v>
      </c>
      <c r="D9" t="s">
        <v>30</v>
      </c>
      <c r="G9" t="s">
        <v>201</v>
      </c>
      <c r="H9" t="s">
        <v>199</v>
      </c>
    </row>
    <row r="10" spans="1:13" x14ac:dyDescent="0.25">
      <c r="A10" t="s">
        <v>201</v>
      </c>
      <c r="D10" t="s">
        <v>31</v>
      </c>
      <c r="E10">
        <v>30000</v>
      </c>
    </row>
    <row r="11" spans="1:13" x14ac:dyDescent="0.25">
      <c r="A11" t="s">
        <v>200</v>
      </c>
      <c r="B11" t="s">
        <v>27</v>
      </c>
      <c r="C11">
        <v>6</v>
      </c>
      <c r="D11" t="s">
        <v>30</v>
      </c>
      <c r="H11" t="s">
        <v>201</v>
      </c>
      <c r="K11">
        <v>20</v>
      </c>
    </row>
    <row r="13" spans="1:13" x14ac:dyDescent="0.25">
      <c r="A13" t="s">
        <v>229</v>
      </c>
      <c r="B13" t="s">
        <v>27</v>
      </c>
      <c r="C13">
        <v>7</v>
      </c>
      <c r="D13" t="s">
        <v>33</v>
      </c>
      <c r="F13">
        <v>60000</v>
      </c>
    </row>
    <row r="14" spans="1:13" x14ac:dyDescent="0.25">
      <c r="A14" t="s">
        <v>204</v>
      </c>
      <c r="B14" t="s">
        <v>29</v>
      </c>
      <c r="C14">
        <v>7</v>
      </c>
      <c r="D14" t="s">
        <v>33</v>
      </c>
      <c r="F14">
        <v>60000</v>
      </c>
    </row>
    <row r="16" spans="1:13" x14ac:dyDescent="0.25">
      <c r="A16" t="s">
        <v>202</v>
      </c>
      <c r="B16" t="s">
        <v>28</v>
      </c>
      <c r="C16">
        <v>8</v>
      </c>
      <c r="D16" t="s">
        <v>33</v>
      </c>
      <c r="F16">
        <v>60000</v>
      </c>
      <c r="G16" t="s">
        <v>222</v>
      </c>
      <c r="J16">
        <v>3</v>
      </c>
      <c r="K16">
        <v>180</v>
      </c>
      <c r="M16" t="s">
        <v>221</v>
      </c>
    </row>
    <row r="17" spans="1:11" x14ac:dyDescent="0.25">
      <c r="A17" t="s">
        <v>222</v>
      </c>
      <c r="D17" t="s">
        <v>31</v>
      </c>
      <c r="E17">
        <v>20000</v>
      </c>
    </row>
    <row r="18" spans="1:11" x14ac:dyDescent="0.25">
      <c r="A18" t="s">
        <v>227</v>
      </c>
      <c r="B18" t="s">
        <v>27</v>
      </c>
      <c r="C18">
        <v>8</v>
      </c>
      <c r="D18" t="s">
        <v>30</v>
      </c>
      <c r="K18">
        <v>-50</v>
      </c>
    </row>
    <row r="19" spans="1:11" x14ac:dyDescent="0.25">
      <c r="A19" t="s">
        <v>206</v>
      </c>
      <c r="B19" t="s">
        <v>27</v>
      </c>
      <c r="C19">
        <v>8</v>
      </c>
      <c r="D19" t="s">
        <v>30</v>
      </c>
      <c r="K19">
        <v>-50</v>
      </c>
    </row>
    <row r="20" spans="1:11" x14ac:dyDescent="0.25">
      <c r="A20" t="s">
        <v>223</v>
      </c>
      <c r="B20" t="s">
        <v>27</v>
      </c>
      <c r="C20">
        <v>8</v>
      </c>
      <c r="D20" t="s">
        <v>30</v>
      </c>
      <c r="K20">
        <v>-50</v>
      </c>
    </row>
    <row r="21" spans="1:11" x14ac:dyDescent="0.25">
      <c r="A21" t="s">
        <v>224</v>
      </c>
      <c r="B21" t="s">
        <v>27</v>
      </c>
      <c r="C21">
        <v>8</v>
      </c>
      <c r="D21" t="s">
        <v>30</v>
      </c>
      <c r="K21">
        <v>-50</v>
      </c>
    </row>
    <row r="22" spans="1:11" x14ac:dyDescent="0.25">
      <c r="A22" t="s">
        <v>205</v>
      </c>
      <c r="B22" t="s">
        <v>29</v>
      </c>
      <c r="C22">
        <v>8</v>
      </c>
      <c r="D22" t="s">
        <v>30</v>
      </c>
      <c r="K22">
        <v>-50</v>
      </c>
    </row>
    <row r="24" spans="1:11" x14ac:dyDescent="0.25">
      <c r="A24" t="s">
        <v>208</v>
      </c>
      <c r="B24" t="s">
        <v>29</v>
      </c>
      <c r="C24">
        <v>4</v>
      </c>
      <c r="D24" t="s">
        <v>30</v>
      </c>
    </row>
    <row r="25" spans="1:11" x14ac:dyDescent="0.25">
      <c r="A25" t="s">
        <v>209</v>
      </c>
      <c r="B25" t="s">
        <v>29</v>
      </c>
      <c r="C25">
        <v>5</v>
      </c>
      <c r="D25" t="s">
        <v>30</v>
      </c>
    </row>
    <row r="26" spans="1:11" x14ac:dyDescent="0.25">
      <c r="A26" t="s">
        <v>210</v>
      </c>
      <c r="B26" t="s">
        <v>29</v>
      </c>
      <c r="C26">
        <v>6</v>
      </c>
      <c r="D26" t="s">
        <v>30</v>
      </c>
    </row>
    <row r="28" spans="1:11" x14ac:dyDescent="0.25">
      <c r="A28" t="s">
        <v>211</v>
      </c>
      <c r="B28" t="s">
        <v>28</v>
      </c>
      <c r="C28">
        <v>7</v>
      </c>
      <c r="D28" t="s">
        <v>33</v>
      </c>
      <c r="F28">
        <v>120000</v>
      </c>
      <c r="G28" t="s">
        <v>228</v>
      </c>
      <c r="I28">
        <v>2</v>
      </c>
    </row>
    <row r="29" spans="1:11" x14ac:dyDescent="0.25">
      <c r="A29" t="s">
        <v>212</v>
      </c>
      <c r="D29" t="s">
        <v>32</v>
      </c>
      <c r="E29">
        <v>30000</v>
      </c>
    </row>
    <row r="30" spans="1:11" x14ac:dyDescent="0.25">
      <c r="A30" t="s">
        <v>213</v>
      </c>
      <c r="B30" t="s">
        <v>28</v>
      </c>
      <c r="C30">
        <v>7</v>
      </c>
      <c r="D30" t="s">
        <v>30</v>
      </c>
      <c r="H30" t="s">
        <v>212</v>
      </c>
    </row>
    <row r="31" spans="1:11" x14ac:dyDescent="0.25">
      <c r="A31" t="s">
        <v>214</v>
      </c>
      <c r="D31" t="s">
        <v>31</v>
      </c>
      <c r="E31">
        <v>20000</v>
      </c>
    </row>
    <row r="32" spans="1:11" x14ac:dyDescent="0.25">
      <c r="A32" t="s">
        <v>215</v>
      </c>
      <c r="D32" t="s">
        <v>31</v>
      </c>
      <c r="E32">
        <v>24000</v>
      </c>
    </row>
    <row r="34" spans="1:10" x14ac:dyDescent="0.25">
      <c r="A34" t="s">
        <v>216</v>
      </c>
      <c r="B34" t="s">
        <v>28</v>
      </c>
      <c r="C34">
        <v>5</v>
      </c>
      <c r="D34" t="s">
        <v>33</v>
      </c>
      <c r="F34">
        <v>90000</v>
      </c>
      <c r="G34" t="s">
        <v>218</v>
      </c>
    </row>
    <row r="35" spans="1:10" x14ac:dyDescent="0.25">
      <c r="A35" t="s">
        <v>218</v>
      </c>
      <c r="D35" t="s">
        <v>31</v>
      </c>
      <c r="E35">
        <v>15000</v>
      </c>
    </row>
    <row r="36" spans="1:10" x14ac:dyDescent="0.25">
      <c r="A36" t="s">
        <v>217</v>
      </c>
      <c r="B36" t="s">
        <v>28</v>
      </c>
      <c r="C36">
        <v>5</v>
      </c>
      <c r="D36" t="s">
        <v>33</v>
      </c>
      <c r="H36" t="s">
        <v>218</v>
      </c>
    </row>
    <row r="38" spans="1:10" x14ac:dyDescent="0.25">
      <c r="A38" t="s">
        <v>219</v>
      </c>
      <c r="B38" t="s">
        <v>27</v>
      </c>
      <c r="C38">
        <v>9</v>
      </c>
      <c r="D38" t="s">
        <v>33</v>
      </c>
      <c r="F38">
        <v>1750</v>
      </c>
      <c r="G38" t="s">
        <v>225</v>
      </c>
      <c r="J38">
        <v>-1</v>
      </c>
    </row>
    <row r="39" spans="1:10" x14ac:dyDescent="0.25">
      <c r="A39" t="s">
        <v>207</v>
      </c>
      <c r="B39" t="s">
        <v>28</v>
      </c>
      <c r="C39">
        <v>9</v>
      </c>
      <c r="D39" t="s">
        <v>33</v>
      </c>
      <c r="F39">
        <v>1750</v>
      </c>
      <c r="I39">
        <v>-1</v>
      </c>
    </row>
    <row r="40" spans="1:10" x14ac:dyDescent="0.25">
      <c r="A40" t="s">
        <v>220</v>
      </c>
      <c r="B40" t="s">
        <v>29</v>
      </c>
      <c r="C40">
        <v>9</v>
      </c>
      <c r="D40" t="s">
        <v>33</v>
      </c>
      <c r="F40">
        <v>1750</v>
      </c>
      <c r="G40" t="s">
        <v>225</v>
      </c>
      <c r="J40">
        <v>-1</v>
      </c>
    </row>
    <row r="41" spans="1:10" x14ac:dyDescent="0.25">
      <c r="A41" t="s">
        <v>225</v>
      </c>
      <c r="D41" t="s">
        <v>31</v>
      </c>
      <c r="E41">
        <v>45000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1AA6E-3A21-4E4D-BBE2-CBF8D1A645C0}">
  <dimension ref="A1:M96"/>
  <sheetViews>
    <sheetView workbookViewId="0">
      <selection activeCell="H84" sqref="H84"/>
    </sheetView>
  </sheetViews>
  <sheetFormatPr baseColWidth="10" defaultRowHeight="15" x14ac:dyDescent="0.25"/>
  <cols>
    <col min="1" max="1" width="24.5703125" bestFit="1" customWidth="1"/>
    <col min="4" max="4" width="13.140625" bestFit="1" customWidth="1"/>
    <col min="6" max="6" width="12.28515625" bestFit="1" customWidth="1"/>
    <col min="7" max="7" width="14.28515625" bestFit="1" customWidth="1"/>
    <col min="8" max="8" width="18.42578125" bestFit="1" customWidth="1"/>
  </cols>
  <sheetData>
    <row r="1" spans="1:11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101</v>
      </c>
    </row>
    <row r="2" spans="1:11" x14ac:dyDescent="0.25">
      <c r="I2" t="s">
        <v>102</v>
      </c>
      <c r="J2" t="s">
        <v>103</v>
      </c>
    </row>
    <row r="4" spans="1:11" x14ac:dyDescent="0.25">
      <c r="A4" t="s">
        <v>37</v>
      </c>
      <c r="D4" t="s">
        <v>31</v>
      </c>
      <c r="E4">
        <v>2460</v>
      </c>
    </row>
    <row r="5" spans="1:11" x14ac:dyDescent="0.25">
      <c r="A5" t="s">
        <v>490</v>
      </c>
      <c r="D5" t="s">
        <v>33</v>
      </c>
      <c r="H5" t="s">
        <v>492</v>
      </c>
    </row>
    <row r="6" spans="1:11" x14ac:dyDescent="0.25">
      <c r="A6" t="s">
        <v>491</v>
      </c>
      <c r="D6" t="s">
        <v>33</v>
      </c>
      <c r="G6" t="s">
        <v>492</v>
      </c>
    </row>
    <row r="7" spans="1:11" x14ac:dyDescent="0.25">
      <c r="A7" t="s">
        <v>492</v>
      </c>
      <c r="D7" t="s">
        <v>31</v>
      </c>
      <c r="E7">
        <v>3600000</v>
      </c>
    </row>
    <row r="10" spans="1:11" x14ac:dyDescent="0.25">
      <c r="A10" t="s">
        <v>104</v>
      </c>
      <c r="B10" t="s">
        <v>27</v>
      </c>
      <c r="C10">
        <v>3</v>
      </c>
      <c r="D10" t="s">
        <v>30</v>
      </c>
      <c r="H10" t="s">
        <v>105</v>
      </c>
    </row>
    <row r="12" spans="1:11" x14ac:dyDescent="0.25">
      <c r="A12" t="s">
        <v>106</v>
      </c>
      <c r="B12" t="s">
        <v>27</v>
      </c>
      <c r="C12">
        <v>5</v>
      </c>
      <c r="D12" t="s">
        <v>30</v>
      </c>
      <c r="H12" t="s">
        <v>105</v>
      </c>
      <c r="K12" t="s">
        <v>107</v>
      </c>
    </row>
    <row r="13" spans="1:11" x14ac:dyDescent="0.25">
      <c r="A13" s="2" t="s">
        <v>108</v>
      </c>
      <c r="B13" t="s">
        <v>27</v>
      </c>
      <c r="C13">
        <v>5</v>
      </c>
      <c r="D13" t="s">
        <v>30</v>
      </c>
    </row>
    <row r="14" spans="1:11" x14ac:dyDescent="0.25">
      <c r="A14" s="3" t="s">
        <v>109</v>
      </c>
      <c r="B14" t="s">
        <v>27</v>
      </c>
      <c r="C14">
        <v>5</v>
      </c>
      <c r="D14" t="s">
        <v>30</v>
      </c>
    </row>
    <row r="15" spans="1:11" x14ac:dyDescent="0.25">
      <c r="A15" s="4" t="s">
        <v>110</v>
      </c>
      <c r="B15" t="s">
        <v>27</v>
      </c>
      <c r="C15">
        <v>5</v>
      </c>
      <c r="D15" t="s">
        <v>30</v>
      </c>
    </row>
    <row r="17" spans="1:11" x14ac:dyDescent="0.25">
      <c r="A17" t="s">
        <v>111</v>
      </c>
      <c r="B17" t="s">
        <v>29</v>
      </c>
      <c r="C17">
        <v>5</v>
      </c>
      <c r="D17" t="s">
        <v>30</v>
      </c>
      <c r="H17" t="s">
        <v>105</v>
      </c>
    </row>
    <row r="18" spans="1:11" x14ac:dyDescent="0.25">
      <c r="A18" s="2" t="s">
        <v>112</v>
      </c>
      <c r="B18" t="s">
        <v>29</v>
      </c>
      <c r="C18">
        <v>5</v>
      </c>
      <c r="D18" t="s">
        <v>30</v>
      </c>
      <c r="K18" t="s">
        <v>113</v>
      </c>
    </row>
    <row r="19" spans="1:11" x14ac:dyDescent="0.25">
      <c r="A19" s="3" t="s">
        <v>114</v>
      </c>
      <c r="B19" t="s">
        <v>29</v>
      </c>
      <c r="C19">
        <v>5</v>
      </c>
      <c r="D19" t="s">
        <v>30</v>
      </c>
      <c r="K19" t="s">
        <v>113</v>
      </c>
    </row>
    <row r="20" spans="1:11" x14ac:dyDescent="0.25">
      <c r="A20" s="4" t="s">
        <v>115</v>
      </c>
      <c r="B20" t="s">
        <v>29</v>
      </c>
      <c r="C20">
        <v>5</v>
      </c>
      <c r="D20" t="s">
        <v>30</v>
      </c>
      <c r="K20" t="s">
        <v>113</v>
      </c>
    </row>
    <row r="22" spans="1:11" x14ac:dyDescent="0.25">
      <c r="A22" t="s">
        <v>116</v>
      </c>
      <c r="B22" t="s">
        <v>27</v>
      </c>
      <c r="C22">
        <v>6</v>
      </c>
      <c r="D22" t="s">
        <v>33</v>
      </c>
      <c r="F22">
        <v>60000</v>
      </c>
      <c r="G22" t="s">
        <v>117</v>
      </c>
      <c r="I22">
        <v>2</v>
      </c>
      <c r="K22" t="s">
        <v>118</v>
      </c>
    </row>
    <row r="23" spans="1:11" x14ac:dyDescent="0.25">
      <c r="A23" t="s">
        <v>119</v>
      </c>
      <c r="B23" t="s">
        <v>29</v>
      </c>
      <c r="C23">
        <v>6</v>
      </c>
      <c r="D23" t="s">
        <v>33</v>
      </c>
      <c r="G23" t="s">
        <v>117</v>
      </c>
      <c r="I23">
        <v>2</v>
      </c>
      <c r="K23" t="s">
        <v>113</v>
      </c>
    </row>
    <row r="24" spans="1:11" x14ac:dyDescent="0.25">
      <c r="A24" t="s">
        <v>120</v>
      </c>
      <c r="B24" t="s">
        <v>27</v>
      </c>
      <c r="C24">
        <v>9</v>
      </c>
      <c r="D24" t="s">
        <v>33</v>
      </c>
      <c r="I24">
        <v>-1</v>
      </c>
      <c r="K24" t="s">
        <v>121</v>
      </c>
    </row>
    <row r="25" spans="1:11" x14ac:dyDescent="0.25">
      <c r="A25" t="s">
        <v>122</v>
      </c>
      <c r="B25" t="s">
        <v>29</v>
      </c>
      <c r="C25">
        <v>9</v>
      </c>
      <c r="D25" t="s">
        <v>33</v>
      </c>
      <c r="I25">
        <v>-1</v>
      </c>
      <c r="K25" t="s">
        <v>113</v>
      </c>
    </row>
    <row r="26" spans="1:11" x14ac:dyDescent="0.25">
      <c r="A26" t="s">
        <v>117</v>
      </c>
      <c r="D26" t="s">
        <v>32</v>
      </c>
      <c r="E26">
        <v>60000</v>
      </c>
    </row>
    <row r="27" spans="1:11" x14ac:dyDescent="0.25">
      <c r="A27" t="s">
        <v>123</v>
      </c>
      <c r="B27" t="s">
        <v>28</v>
      </c>
      <c r="C27">
        <v>5</v>
      </c>
      <c r="D27" t="s">
        <v>30</v>
      </c>
      <c r="H27" t="s">
        <v>117</v>
      </c>
    </row>
    <row r="30" spans="1:11" x14ac:dyDescent="0.25">
      <c r="A30" t="s">
        <v>124</v>
      </c>
      <c r="D30" t="s">
        <v>31</v>
      </c>
      <c r="E30">
        <v>60000</v>
      </c>
      <c r="K30" t="s">
        <v>125</v>
      </c>
    </row>
    <row r="32" spans="1:11" x14ac:dyDescent="0.25">
      <c r="A32" s="2" t="s">
        <v>126</v>
      </c>
      <c r="B32" t="s">
        <v>27</v>
      </c>
      <c r="C32">
        <v>8</v>
      </c>
      <c r="D32" t="s">
        <v>30</v>
      </c>
      <c r="G32" s="2" t="s">
        <v>127</v>
      </c>
      <c r="H32" t="s">
        <v>128</v>
      </c>
    </row>
    <row r="33" spans="1:11" x14ac:dyDescent="0.25">
      <c r="A33" s="3" t="s">
        <v>129</v>
      </c>
      <c r="B33" t="s">
        <v>27</v>
      </c>
      <c r="C33">
        <v>8</v>
      </c>
      <c r="D33" t="s">
        <v>30</v>
      </c>
      <c r="G33" s="3" t="s">
        <v>130</v>
      </c>
      <c r="H33" t="s">
        <v>128</v>
      </c>
    </row>
    <row r="34" spans="1:11" x14ac:dyDescent="0.25">
      <c r="A34" s="4" t="s">
        <v>131</v>
      </c>
      <c r="B34" t="s">
        <v>27</v>
      </c>
      <c r="C34">
        <v>8</v>
      </c>
      <c r="D34" t="s">
        <v>30</v>
      </c>
      <c r="G34" s="4" t="s">
        <v>132</v>
      </c>
      <c r="H34" t="s">
        <v>128</v>
      </c>
    </row>
    <row r="36" spans="1:11" x14ac:dyDescent="0.25">
      <c r="A36" s="2" t="s">
        <v>133</v>
      </c>
      <c r="D36" t="s">
        <v>32</v>
      </c>
      <c r="E36">
        <v>15000</v>
      </c>
    </row>
    <row r="37" spans="1:11" x14ac:dyDescent="0.25">
      <c r="A37" s="3" t="s">
        <v>134</v>
      </c>
      <c r="D37" t="s">
        <v>32</v>
      </c>
      <c r="E37">
        <v>15000</v>
      </c>
    </row>
    <row r="38" spans="1:11" x14ac:dyDescent="0.25">
      <c r="A38" s="4" t="s">
        <v>135</v>
      </c>
      <c r="D38" t="s">
        <v>32</v>
      </c>
      <c r="E38">
        <v>15000</v>
      </c>
    </row>
    <row r="40" spans="1:11" x14ac:dyDescent="0.25">
      <c r="A40" t="s">
        <v>136</v>
      </c>
      <c r="D40" t="s">
        <v>31</v>
      </c>
      <c r="E40">
        <v>15000</v>
      </c>
    </row>
    <row r="41" spans="1:11" x14ac:dyDescent="0.25">
      <c r="A41" s="2" t="s">
        <v>137</v>
      </c>
      <c r="B41" t="s">
        <v>28</v>
      </c>
      <c r="C41">
        <v>8</v>
      </c>
      <c r="D41" t="s">
        <v>33</v>
      </c>
      <c r="H41" t="s">
        <v>136</v>
      </c>
    </row>
    <row r="42" spans="1:11" x14ac:dyDescent="0.25">
      <c r="A42" s="3" t="s">
        <v>138</v>
      </c>
      <c r="B42" t="s">
        <v>28</v>
      </c>
      <c r="C42">
        <v>8</v>
      </c>
      <c r="D42" t="s">
        <v>33</v>
      </c>
      <c r="H42" t="s">
        <v>136</v>
      </c>
    </row>
    <row r="43" spans="1:11" x14ac:dyDescent="0.25">
      <c r="A43" s="4" t="s">
        <v>139</v>
      </c>
      <c r="B43" t="s">
        <v>28</v>
      </c>
      <c r="C43">
        <v>8</v>
      </c>
      <c r="D43" t="s">
        <v>33</v>
      </c>
      <c r="H43" t="s">
        <v>136</v>
      </c>
    </row>
    <row r="45" spans="1:11" x14ac:dyDescent="0.25">
      <c r="A45" t="s">
        <v>140</v>
      </c>
      <c r="D45" t="s">
        <v>31</v>
      </c>
      <c r="E45">
        <v>15000</v>
      </c>
    </row>
    <row r="46" spans="1:11" x14ac:dyDescent="0.25">
      <c r="A46" s="2" t="s">
        <v>141</v>
      </c>
      <c r="B46" t="s">
        <v>28</v>
      </c>
      <c r="C46">
        <v>4</v>
      </c>
      <c r="D46" t="s">
        <v>33</v>
      </c>
      <c r="H46" t="s">
        <v>140</v>
      </c>
    </row>
    <row r="47" spans="1:11" x14ac:dyDescent="0.25">
      <c r="A47" s="3" t="s">
        <v>142</v>
      </c>
      <c r="B47" t="s">
        <v>28</v>
      </c>
      <c r="C47">
        <v>4</v>
      </c>
      <c r="D47" t="s">
        <v>33</v>
      </c>
      <c r="H47" t="s">
        <v>140</v>
      </c>
      <c r="K47" t="s">
        <v>143</v>
      </c>
    </row>
    <row r="48" spans="1:11" x14ac:dyDescent="0.25">
      <c r="A48" s="4" t="s">
        <v>144</v>
      </c>
      <c r="B48" t="s">
        <v>28</v>
      </c>
      <c r="C48">
        <v>4</v>
      </c>
      <c r="D48" t="s">
        <v>33</v>
      </c>
      <c r="H48" t="s">
        <v>140</v>
      </c>
    </row>
    <row r="50" spans="1:11" x14ac:dyDescent="0.25">
      <c r="A50" s="4" t="s">
        <v>145</v>
      </c>
      <c r="D50" t="s">
        <v>31</v>
      </c>
      <c r="E50">
        <v>30000</v>
      </c>
    </row>
    <row r="51" spans="1:11" x14ac:dyDescent="0.25">
      <c r="A51" s="4" t="s">
        <v>146</v>
      </c>
      <c r="B51" t="s">
        <v>27</v>
      </c>
      <c r="C51">
        <v>12</v>
      </c>
      <c r="D51" t="s">
        <v>33</v>
      </c>
      <c r="H51" t="s">
        <v>145</v>
      </c>
      <c r="K51" t="s">
        <v>143</v>
      </c>
    </row>
    <row r="54" spans="1:11" x14ac:dyDescent="0.25">
      <c r="A54" s="5" t="s">
        <v>147</v>
      </c>
      <c r="D54" t="s">
        <v>31</v>
      </c>
      <c r="E54">
        <v>120000</v>
      </c>
    </row>
    <row r="55" spans="1:11" x14ac:dyDescent="0.25">
      <c r="A55" s="5" t="s">
        <v>148</v>
      </c>
      <c r="B55" t="s">
        <v>28</v>
      </c>
      <c r="C55">
        <v>7</v>
      </c>
      <c r="D55" t="s">
        <v>30</v>
      </c>
      <c r="G55" t="s">
        <v>149</v>
      </c>
      <c r="H55" t="s">
        <v>150</v>
      </c>
      <c r="K55">
        <v>2</v>
      </c>
    </row>
    <row r="56" spans="1:11" x14ac:dyDescent="0.25">
      <c r="A56" s="5" t="s">
        <v>151</v>
      </c>
      <c r="D56" t="s">
        <v>31</v>
      </c>
      <c r="E56">
        <v>30000</v>
      </c>
    </row>
    <row r="57" spans="1:11" x14ac:dyDescent="0.25">
      <c r="A57" s="6" t="s">
        <v>152</v>
      </c>
      <c r="D57" t="s">
        <v>31</v>
      </c>
      <c r="E57">
        <v>120000</v>
      </c>
    </row>
    <row r="58" spans="1:11" x14ac:dyDescent="0.25">
      <c r="A58" s="6" t="s">
        <v>153</v>
      </c>
      <c r="B58" t="s">
        <v>27</v>
      </c>
      <c r="C58">
        <v>7</v>
      </c>
      <c r="D58" t="s">
        <v>30</v>
      </c>
      <c r="G58" t="s">
        <v>154</v>
      </c>
      <c r="H58" t="s">
        <v>155</v>
      </c>
      <c r="K58">
        <v>4</v>
      </c>
    </row>
    <row r="59" spans="1:11" x14ac:dyDescent="0.25">
      <c r="A59" s="6" t="s">
        <v>154</v>
      </c>
      <c r="D59" t="s">
        <v>31</v>
      </c>
      <c r="E59">
        <v>30000</v>
      </c>
    </row>
    <row r="60" spans="1:11" x14ac:dyDescent="0.25">
      <c r="A60" s="7" t="s">
        <v>156</v>
      </c>
      <c r="D60" t="s">
        <v>31</v>
      </c>
      <c r="E60">
        <v>120000</v>
      </c>
    </row>
    <row r="61" spans="1:11" x14ac:dyDescent="0.25">
      <c r="A61" s="7" t="s">
        <v>157</v>
      </c>
      <c r="B61" t="s">
        <v>29</v>
      </c>
      <c r="C61">
        <v>7</v>
      </c>
      <c r="D61" t="s">
        <v>30</v>
      </c>
      <c r="G61" t="s">
        <v>158</v>
      </c>
      <c r="H61" t="s">
        <v>159</v>
      </c>
      <c r="K61">
        <v>4</v>
      </c>
    </row>
    <row r="62" spans="1:11" x14ac:dyDescent="0.25">
      <c r="A62" s="7" t="s">
        <v>160</v>
      </c>
      <c r="D62" t="s">
        <v>31</v>
      </c>
      <c r="E62">
        <v>30000</v>
      </c>
    </row>
    <row r="64" spans="1:11" x14ac:dyDescent="0.25">
      <c r="A64" t="s">
        <v>161</v>
      </c>
      <c r="B64" t="s">
        <v>27</v>
      </c>
      <c r="C64">
        <v>4</v>
      </c>
      <c r="D64" t="s">
        <v>30</v>
      </c>
    </row>
    <row r="65" spans="1:13" x14ac:dyDescent="0.25">
      <c r="A65" s="5" t="s">
        <v>162</v>
      </c>
      <c r="B65" t="s">
        <v>27</v>
      </c>
      <c r="C65">
        <v>4</v>
      </c>
      <c r="D65" t="s">
        <v>30</v>
      </c>
      <c r="H65" t="s">
        <v>105</v>
      </c>
      <c r="J65">
        <v>-1</v>
      </c>
      <c r="K65" t="s">
        <v>163</v>
      </c>
    </row>
    <row r="66" spans="1:13" x14ac:dyDescent="0.25">
      <c r="A66" s="6" t="s">
        <v>164</v>
      </c>
      <c r="B66" t="s">
        <v>27</v>
      </c>
      <c r="C66">
        <v>4</v>
      </c>
      <c r="D66" t="s">
        <v>30</v>
      </c>
      <c r="G66" t="s">
        <v>165</v>
      </c>
      <c r="J66">
        <v>-1</v>
      </c>
      <c r="K66" t="s">
        <v>163</v>
      </c>
    </row>
    <row r="67" spans="1:13" x14ac:dyDescent="0.25">
      <c r="A67" s="7" t="s">
        <v>166</v>
      </c>
      <c r="B67" t="s">
        <v>27</v>
      </c>
      <c r="C67">
        <v>4</v>
      </c>
      <c r="D67" t="s">
        <v>30</v>
      </c>
      <c r="J67">
        <v>-1</v>
      </c>
      <c r="K67" t="s">
        <v>163</v>
      </c>
    </row>
    <row r="69" spans="1:13" x14ac:dyDescent="0.25">
      <c r="A69" t="s">
        <v>167</v>
      </c>
      <c r="B69" t="s">
        <v>29</v>
      </c>
      <c r="C69">
        <v>4</v>
      </c>
      <c r="D69" t="s">
        <v>30</v>
      </c>
    </row>
    <row r="70" spans="1:13" x14ac:dyDescent="0.25">
      <c r="A70" s="5" t="s">
        <v>168</v>
      </c>
      <c r="B70" t="s">
        <v>29</v>
      </c>
      <c r="C70">
        <v>4</v>
      </c>
      <c r="D70" t="s">
        <v>30</v>
      </c>
      <c r="H70" t="s">
        <v>105</v>
      </c>
      <c r="J70">
        <v>-1</v>
      </c>
      <c r="M70" t="s">
        <v>370</v>
      </c>
    </row>
    <row r="71" spans="1:13" x14ac:dyDescent="0.25">
      <c r="A71" s="6" t="s">
        <v>169</v>
      </c>
      <c r="B71" t="s">
        <v>29</v>
      </c>
      <c r="C71">
        <v>4</v>
      </c>
      <c r="D71" t="s">
        <v>30</v>
      </c>
      <c r="G71" t="s">
        <v>165</v>
      </c>
      <c r="J71">
        <v>-1</v>
      </c>
      <c r="M71" t="s">
        <v>370</v>
      </c>
    </row>
    <row r="72" spans="1:13" x14ac:dyDescent="0.25">
      <c r="A72" s="7" t="s">
        <v>170</v>
      </c>
      <c r="B72" t="s">
        <v>29</v>
      </c>
      <c r="C72">
        <v>4</v>
      </c>
      <c r="D72" t="s">
        <v>30</v>
      </c>
      <c r="J72">
        <v>-1</v>
      </c>
      <c r="M72" t="s">
        <v>370</v>
      </c>
    </row>
    <row r="74" spans="1:13" x14ac:dyDescent="0.25">
      <c r="A74" t="s">
        <v>171</v>
      </c>
    </row>
    <row r="75" spans="1:13" x14ac:dyDescent="0.25">
      <c r="A75" s="5" t="s">
        <v>172</v>
      </c>
      <c r="D75" t="s">
        <v>31</v>
      </c>
      <c r="E75">
        <v>120000</v>
      </c>
    </row>
    <row r="76" spans="1:13" x14ac:dyDescent="0.25">
      <c r="A76" s="5" t="s">
        <v>173</v>
      </c>
      <c r="B76" t="s">
        <v>28</v>
      </c>
      <c r="C76">
        <v>4</v>
      </c>
      <c r="D76" t="s">
        <v>30</v>
      </c>
      <c r="G76" t="s">
        <v>174</v>
      </c>
      <c r="H76" t="s">
        <v>172</v>
      </c>
    </row>
    <row r="77" spans="1:13" x14ac:dyDescent="0.25">
      <c r="A77" s="5" t="s">
        <v>174</v>
      </c>
      <c r="D77" t="s">
        <v>31</v>
      </c>
      <c r="E77">
        <v>120000</v>
      </c>
    </row>
    <row r="78" spans="1:13" x14ac:dyDescent="0.25">
      <c r="A78" s="5" t="s">
        <v>175</v>
      </c>
      <c r="B78" t="s">
        <v>28</v>
      </c>
      <c r="C78">
        <v>4</v>
      </c>
      <c r="D78" t="s">
        <v>30</v>
      </c>
      <c r="H78" t="s">
        <v>174</v>
      </c>
    </row>
    <row r="79" spans="1:13" x14ac:dyDescent="0.25">
      <c r="A79" s="6" t="s">
        <v>165</v>
      </c>
      <c r="D79" t="s">
        <v>31</v>
      </c>
      <c r="E79">
        <v>120000</v>
      </c>
    </row>
    <row r="80" spans="1:13" x14ac:dyDescent="0.25">
      <c r="A80" s="6" t="s">
        <v>176</v>
      </c>
      <c r="B80" t="s">
        <v>28</v>
      </c>
      <c r="C80">
        <v>4</v>
      </c>
      <c r="D80" t="s">
        <v>33</v>
      </c>
      <c r="H80" t="s">
        <v>165</v>
      </c>
    </row>
    <row r="81" spans="1:8" x14ac:dyDescent="0.25">
      <c r="A81" s="7" t="s">
        <v>177</v>
      </c>
      <c r="D81" t="s">
        <v>31</v>
      </c>
      <c r="E81">
        <v>120000</v>
      </c>
    </row>
    <row r="82" spans="1:8" x14ac:dyDescent="0.25">
      <c r="A82" s="7" t="s">
        <v>178</v>
      </c>
      <c r="B82" t="s">
        <v>28</v>
      </c>
      <c r="C82">
        <v>4</v>
      </c>
      <c r="D82" t="s">
        <v>30</v>
      </c>
      <c r="H82" t="s">
        <v>179</v>
      </c>
    </row>
    <row r="84" spans="1:8" x14ac:dyDescent="0.25">
      <c r="A84" t="s">
        <v>180</v>
      </c>
      <c r="B84" t="s">
        <v>28</v>
      </c>
      <c r="C84">
        <v>2</v>
      </c>
      <c r="D84" t="s">
        <v>33</v>
      </c>
      <c r="F84">
        <v>120000</v>
      </c>
      <c r="G84" t="s">
        <v>181</v>
      </c>
      <c r="H84" t="s">
        <v>492</v>
      </c>
    </row>
    <row r="85" spans="1:8" x14ac:dyDescent="0.25">
      <c r="A85" t="s">
        <v>182</v>
      </c>
      <c r="D85" t="s">
        <v>32</v>
      </c>
      <c r="E85">
        <v>20000</v>
      </c>
    </row>
    <row r="86" spans="1:8" x14ac:dyDescent="0.25">
      <c r="A86" t="s">
        <v>183</v>
      </c>
      <c r="D86" t="s">
        <v>32</v>
      </c>
      <c r="E86">
        <v>30000</v>
      </c>
    </row>
    <row r="87" spans="1:8" x14ac:dyDescent="0.25">
      <c r="A87" t="s">
        <v>184</v>
      </c>
      <c r="B87" t="s">
        <v>28</v>
      </c>
      <c r="C87">
        <v>2</v>
      </c>
      <c r="D87" t="s">
        <v>33</v>
      </c>
      <c r="H87" t="s">
        <v>183</v>
      </c>
    </row>
    <row r="89" spans="1:8" x14ac:dyDescent="0.25">
      <c r="A89" t="s">
        <v>185</v>
      </c>
      <c r="B89" t="s">
        <v>27</v>
      </c>
      <c r="C89">
        <v>11</v>
      </c>
      <c r="D89" t="s">
        <v>33</v>
      </c>
      <c r="F89">
        <v>40000</v>
      </c>
      <c r="G89" t="s">
        <v>105</v>
      </c>
    </row>
    <row r="90" spans="1:8" x14ac:dyDescent="0.25">
      <c r="A90" t="s">
        <v>105</v>
      </c>
      <c r="D90" t="s">
        <v>31</v>
      </c>
      <c r="E90">
        <v>10000</v>
      </c>
    </row>
    <row r="91" spans="1:8" x14ac:dyDescent="0.25">
      <c r="A91" t="s">
        <v>186</v>
      </c>
      <c r="B91" t="s">
        <v>28</v>
      </c>
      <c r="C91">
        <v>12</v>
      </c>
      <c r="D91" t="s">
        <v>33</v>
      </c>
    </row>
    <row r="92" spans="1:8" x14ac:dyDescent="0.25">
      <c r="A92" t="s">
        <v>187</v>
      </c>
      <c r="B92" t="s">
        <v>28</v>
      </c>
      <c r="C92">
        <v>10</v>
      </c>
      <c r="D92" t="s">
        <v>30</v>
      </c>
      <c r="H92" t="s">
        <v>105</v>
      </c>
    </row>
    <row r="93" spans="1:8" x14ac:dyDescent="0.25">
      <c r="A93" t="s">
        <v>188</v>
      </c>
      <c r="B93" t="s">
        <v>29</v>
      </c>
      <c r="C93">
        <v>11</v>
      </c>
      <c r="D93" t="s">
        <v>30</v>
      </c>
      <c r="H93" t="s">
        <v>105</v>
      </c>
    </row>
    <row r="94" spans="1:8" x14ac:dyDescent="0.25">
      <c r="A94" t="s">
        <v>189</v>
      </c>
      <c r="B94" t="s">
        <v>28</v>
      </c>
      <c r="C94">
        <v>3</v>
      </c>
      <c r="D94" t="s">
        <v>30</v>
      </c>
      <c r="H94" t="s">
        <v>105</v>
      </c>
    </row>
    <row r="95" spans="1:8" x14ac:dyDescent="0.25">
      <c r="A95" t="s">
        <v>190</v>
      </c>
      <c r="B95" t="s">
        <v>29</v>
      </c>
      <c r="C95">
        <v>3</v>
      </c>
      <c r="D95" t="s">
        <v>33</v>
      </c>
    </row>
    <row r="96" spans="1:8" x14ac:dyDescent="0.25">
      <c r="A96" t="s">
        <v>191</v>
      </c>
      <c r="B96" t="s">
        <v>27</v>
      </c>
      <c r="C96">
        <v>10</v>
      </c>
      <c r="D96" t="s">
        <v>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4502-4A59-4E3D-B4CF-5A5D5E1CBE54}">
  <dimension ref="A1:I22"/>
  <sheetViews>
    <sheetView workbookViewId="0">
      <selection activeCell="G36" sqref="G36"/>
    </sheetView>
  </sheetViews>
  <sheetFormatPr baseColWidth="10" defaultRowHeight="15" x14ac:dyDescent="0.25"/>
  <cols>
    <col min="1" max="1" width="17.28515625" bestFit="1" customWidth="1"/>
    <col min="6" max="6" width="14.28515625" customWidth="1"/>
  </cols>
  <sheetData>
    <row r="1" spans="1:9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</row>
    <row r="2" spans="1:9" x14ac:dyDescent="0.25">
      <c r="I2" t="s">
        <v>102</v>
      </c>
    </row>
    <row r="4" spans="1:9" x14ac:dyDescent="0.25">
      <c r="A4" t="s">
        <v>37</v>
      </c>
      <c r="D4" t="s">
        <v>31</v>
      </c>
      <c r="E4">
        <v>2460</v>
      </c>
    </row>
    <row r="5" spans="1:9" x14ac:dyDescent="0.25">
      <c r="A5" t="s">
        <v>490</v>
      </c>
      <c r="D5" t="s">
        <v>33</v>
      </c>
      <c r="H5" t="s">
        <v>492</v>
      </c>
    </row>
    <row r="6" spans="1:9" x14ac:dyDescent="0.25">
      <c r="A6" t="s">
        <v>491</v>
      </c>
      <c r="D6" t="s">
        <v>33</v>
      </c>
      <c r="G6" t="s">
        <v>492</v>
      </c>
    </row>
    <row r="7" spans="1:9" x14ac:dyDescent="0.25">
      <c r="A7" t="s">
        <v>492</v>
      </c>
      <c r="D7" t="s">
        <v>31</v>
      </c>
      <c r="E7">
        <v>3600000</v>
      </c>
    </row>
    <row r="9" spans="1:9" x14ac:dyDescent="0.25">
      <c r="A9" t="s">
        <v>192</v>
      </c>
      <c r="B9" t="s">
        <v>27</v>
      </c>
      <c r="C9">
        <v>4</v>
      </c>
      <c r="D9" t="s">
        <v>30</v>
      </c>
      <c r="F9">
        <v>28500</v>
      </c>
      <c r="G9" t="s">
        <v>367</v>
      </c>
    </row>
    <row r="10" spans="1:9" x14ac:dyDescent="0.25">
      <c r="A10" t="s">
        <v>367</v>
      </c>
      <c r="D10" t="s">
        <v>31</v>
      </c>
      <c r="E10">
        <v>30000</v>
      </c>
    </row>
    <row r="11" spans="1:9" x14ac:dyDescent="0.25">
      <c r="A11" t="s">
        <v>193</v>
      </c>
      <c r="B11" t="s">
        <v>27</v>
      </c>
      <c r="C11">
        <v>5</v>
      </c>
      <c r="D11" t="s">
        <v>30</v>
      </c>
    </row>
    <row r="12" spans="1:9" x14ac:dyDescent="0.25">
      <c r="A12" t="s">
        <v>194</v>
      </c>
      <c r="B12" t="s">
        <v>28</v>
      </c>
      <c r="C12">
        <v>5</v>
      </c>
      <c r="D12" t="s">
        <v>30</v>
      </c>
    </row>
    <row r="13" spans="1:9" x14ac:dyDescent="0.25">
      <c r="A13" t="s">
        <v>382</v>
      </c>
      <c r="B13" t="s">
        <v>29</v>
      </c>
      <c r="C13">
        <v>5</v>
      </c>
      <c r="D13" t="s">
        <v>30</v>
      </c>
    </row>
    <row r="14" spans="1:9" x14ac:dyDescent="0.25">
      <c r="A14" t="s">
        <v>195</v>
      </c>
      <c r="B14" t="s">
        <v>28</v>
      </c>
      <c r="C14">
        <v>2</v>
      </c>
      <c r="D14" t="s">
        <v>33</v>
      </c>
      <c r="F14">
        <v>120000</v>
      </c>
      <c r="G14" t="s">
        <v>369</v>
      </c>
    </row>
    <row r="15" spans="1:9" x14ac:dyDescent="0.25">
      <c r="A15" t="s">
        <v>368</v>
      </c>
      <c r="D15" t="s">
        <v>31</v>
      </c>
      <c r="E15">
        <v>20000</v>
      </c>
    </row>
    <row r="16" spans="1:9" x14ac:dyDescent="0.25">
      <c r="A16" t="s">
        <v>364</v>
      </c>
      <c r="D16" t="s">
        <v>32</v>
      </c>
      <c r="E16">
        <v>30000</v>
      </c>
    </row>
    <row r="17" spans="1:9" x14ac:dyDescent="0.25">
      <c r="A17" t="s">
        <v>196</v>
      </c>
      <c r="B17" t="s">
        <v>28</v>
      </c>
      <c r="C17">
        <v>2</v>
      </c>
      <c r="D17" t="s">
        <v>33</v>
      </c>
      <c r="H17" t="s">
        <v>364</v>
      </c>
    </row>
    <row r="18" spans="1:9" x14ac:dyDescent="0.25">
      <c r="A18" t="s">
        <v>190</v>
      </c>
      <c r="B18" t="s">
        <v>29</v>
      </c>
      <c r="C18">
        <v>3</v>
      </c>
      <c r="D18" t="s">
        <v>33</v>
      </c>
      <c r="F18">
        <v>60000</v>
      </c>
    </row>
    <row r="19" spans="1:9" x14ac:dyDescent="0.25">
      <c r="A19" t="s">
        <v>365</v>
      </c>
      <c r="B19" t="s">
        <v>27</v>
      </c>
      <c r="C19">
        <v>6</v>
      </c>
      <c r="D19" t="s">
        <v>33</v>
      </c>
      <c r="F19">
        <v>60000</v>
      </c>
      <c r="I19">
        <v>3</v>
      </c>
    </row>
    <row r="20" spans="1:9" x14ac:dyDescent="0.25">
      <c r="A20" t="s">
        <v>116</v>
      </c>
      <c r="B20" t="s">
        <v>28</v>
      </c>
      <c r="C20">
        <v>6</v>
      </c>
      <c r="D20" t="s">
        <v>33</v>
      </c>
      <c r="F20">
        <v>1000</v>
      </c>
    </row>
    <row r="21" spans="1:9" x14ac:dyDescent="0.25">
      <c r="A21" t="s">
        <v>366</v>
      </c>
      <c r="B21" t="s">
        <v>29</v>
      </c>
      <c r="C21">
        <v>6</v>
      </c>
      <c r="D21" t="s">
        <v>33</v>
      </c>
      <c r="F21">
        <v>180000</v>
      </c>
      <c r="I21">
        <v>3</v>
      </c>
    </row>
    <row r="22" spans="1:9" x14ac:dyDescent="0.25">
      <c r="A22" t="s">
        <v>383</v>
      </c>
      <c r="B22" t="s">
        <v>27</v>
      </c>
      <c r="C22">
        <v>3</v>
      </c>
      <c r="D22" t="s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4FEA-D0D3-4F98-B644-3E9C52C4A2B7}">
  <dimension ref="A1:M55"/>
  <sheetViews>
    <sheetView workbookViewId="0">
      <selection activeCell="B9" sqref="B9"/>
    </sheetView>
  </sheetViews>
  <sheetFormatPr baseColWidth="10" defaultRowHeight="15" x14ac:dyDescent="0.25"/>
  <cols>
    <col min="1" max="1" width="21" bestFit="1" customWidth="1"/>
    <col min="2" max="2" width="32.7109375" bestFit="1" customWidth="1"/>
    <col min="3" max="3" width="8.42578125" customWidth="1"/>
    <col min="6" max="6" width="13.5703125" customWidth="1"/>
    <col min="8" max="8" width="11.42578125" bestFit="1" customWidth="1"/>
    <col min="9" max="9" width="14.140625" customWidth="1"/>
    <col min="10" max="10" width="18.5703125" customWidth="1"/>
  </cols>
  <sheetData>
    <row r="1" spans="1:13" ht="18.75" x14ac:dyDescent="0.3">
      <c r="A1" s="1" t="s">
        <v>24</v>
      </c>
      <c r="B1" s="1" t="s">
        <v>313</v>
      </c>
      <c r="C1" s="1" t="s">
        <v>358</v>
      </c>
      <c r="D1" s="1" t="s">
        <v>25</v>
      </c>
      <c r="E1" s="1" t="s">
        <v>26</v>
      </c>
      <c r="F1" s="1" t="s">
        <v>36</v>
      </c>
      <c r="G1" s="1" t="s">
        <v>34</v>
      </c>
      <c r="H1" s="1" t="s">
        <v>35</v>
      </c>
      <c r="I1" s="1" t="s">
        <v>38</v>
      </c>
      <c r="J1" s="1" t="s">
        <v>39</v>
      </c>
      <c r="K1" s="1" t="s">
        <v>81</v>
      </c>
      <c r="L1" s="1" t="s">
        <v>101</v>
      </c>
      <c r="M1" s="1" t="s">
        <v>226</v>
      </c>
    </row>
    <row r="2" spans="1:13" x14ac:dyDescent="0.25">
      <c r="K2" t="s">
        <v>303</v>
      </c>
      <c r="L2" t="s">
        <v>324</v>
      </c>
      <c r="M2" t="s">
        <v>355</v>
      </c>
    </row>
    <row r="4" spans="1:13" x14ac:dyDescent="0.25">
      <c r="A4" t="s">
        <v>37</v>
      </c>
      <c r="F4" t="s">
        <v>31</v>
      </c>
      <c r="G4">
        <v>2450</v>
      </c>
    </row>
    <row r="5" spans="1:13" x14ac:dyDescent="0.25">
      <c r="A5" t="s">
        <v>490</v>
      </c>
      <c r="D5" t="s">
        <v>33</v>
      </c>
      <c r="H5" t="s">
        <v>492</v>
      </c>
    </row>
    <row r="6" spans="1:13" x14ac:dyDescent="0.25">
      <c r="A6" t="s">
        <v>491</v>
      </c>
      <c r="D6" t="s">
        <v>33</v>
      </c>
      <c r="G6" t="s">
        <v>492</v>
      </c>
    </row>
    <row r="7" spans="1:13" x14ac:dyDescent="0.25">
      <c r="A7" t="s">
        <v>492</v>
      </c>
      <c r="D7" t="s">
        <v>31</v>
      </c>
      <c r="E7">
        <v>3600000</v>
      </c>
    </row>
    <row r="10" spans="1:13" x14ac:dyDescent="0.25">
      <c r="A10" t="s">
        <v>292</v>
      </c>
      <c r="B10" t="s">
        <v>323</v>
      </c>
      <c r="C10" t="s">
        <v>359</v>
      </c>
      <c r="D10" t="s">
        <v>27</v>
      </c>
      <c r="E10">
        <v>5</v>
      </c>
      <c r="F10" t="s">
        <v>30</v>
      </c>
    </row>
    <row r="11" spans="1:13" x14ac:dyDescent="0.25">
      <c r="A11" t="s">
        <v>356</v>
      </c>
      <c r="B11" t="s">
        <v>357</v>
      </c>
      <c r="C11" t="s">
        <v>359</v>
      </c>
      <c r="F11" t="s">
        <v>32</v>
      </c>
      <c r="G11">
        <v>30000</v>
      </c>
    </row>
    <row r="12" spans="1:13" x14ac:dyDescent="0.25">
      <c r="A12" t="s">
        <v>293</v>
      </c>
      <c r="B12" t="s">
        <v>328</v>
      </c>
      <c r="C12" t="s">
        <v>359</v>
      </c>
      <c r="D12" t="s">
        <v>27</v>
      </c>
      <c r="E12">
        <v>9</v>
      </c>
      <c r="F12" t="s">
        <v>30</v>
      </c>
      <c r="J12" t="s">
        <v>356</v>
      </c>
    </row>
    <row r="13" spans="1:13" x14ac:dyDescent="0.25">
      <c r="A13" t="s">
        <v>297</v>
      </c>
      <c r="B13" t="s">
        <v>329</v>
      </c>
      <c r="C13" t="s">
        <v>359</v>
      </c>
      <c r="D13" t="s">
        <v>27</v>
      </c>
      <c r="E13">
        <v>12</v>
      </c>
      <c r="F13" t="s">
        <v>30</v>
      </c>
      <c r="M13">
        <v>-100</v>
      </c>
    </row>
    <row r="14" spans="1:13" x14ac:dyDescent="0.25">
      <c r="A14" t="s">
        <v>342</v>
      </c>
      <c r="B14" t="s">
        <v>343</v>
      </c>
      <c r="C14" t="s">
        <v>359</v>
      </c>
      <c r="F14" t="s">
        <v>32</v>
      </c>
      <c r="G14">
        <v>10000</v>
      </c>
    </row>
    <row r="15" spans="1:13" x14ac:dyDescent="0.25">
      <c r="A15" t="s">
        <v>298</v>
      </c>
      <c r="B15" t="s">
        <v>330</v>
      </c>
      <c r="C15" t="s">
        <v>359</v>
      </c>
      <c r="D15" t="s">
        <v>27</v>
      </c>
      <c r="E15">
        <v>12</v>
      </c>
      <c r="F15" t="s">
        <v>30</v>
      </c>
      <c r="J15" t="s">
        <v>342</v>
      </c>
    </row>
    <row r="16" spans="1:13" x14ac:dyDescent="0.25">
      <c r="A16" t="s">
        <v>301</v>
      </c>
      <c r="B16" t="s">
        <v>334</v>
      </c>
      <c r="C16" t="s">
        <v>360</v>
      </c>
      <c r="F16" t="s">
        <v>30</v>
      </c>
    </row>
    <row r="17" spans="1:10" x14ac:dyDescent="0.25">
      <c r="A17" t="s">
        <v>302</v>
      </c>
      <c r="B17" t="s">
        <v>333</v>
      </c>
      <c r="C17" t="s">
        <v>360</v>
      </c>
      <c r="D17" t="s">
        <v>29</v>
      </c>
      <c r="E17">
        <v>9</v>
      </c>
      <c r="F17" t="s">
        <v>30</v>
      </c>
    </row>
    <row r="19" spans="1:10" x14ac:dyDescent="0.25">
      <c r="A19" t="s">
        <v>344</v>
      </c>
      <c r="F19" t="s">
        <v>32</v>
      </c>
    </row>
    <row r="20" spans="1:10" x14ac:dyDescent="0.25">
      <c r="A20" t="s">
        <v>299</v>
      </c>
      <c r="B20" t="s">
        <v>331</v>
      </c>
      <c r="F20" t="s">
        <v>30</v>
      </c>
      <c r="J20" t="s">
        <v>344</v>
      </c>
    </row>
    <row r="21" spans="1:10" x14ac:dyDescent="0.25">
      <c r="A21" t="s">
        <v>345</v>
      </c>
      <c r="F21" t="s">
        <v>32</v>
      </c>
    </row>
    <row r="22" spans="1:10" x14ac:dyDescent="0.25">
      <c r="A22" t="s">
        <v>300</v>
      </c>
      <c r="B22" t="s">
        <v>332</v>
      </c>
      <c r="F22" t="s">
        <v>30</v>
      </c>
      <c r="J22" t="s">
        <v>345</v>
      </c>
    </row>
    <row r="24" spans="1:10" x14ac:dyDescent="0.25">
      <c r="A24" t="s">
        <v>294</v>
      </c>
      <c r="B24" t="s">
        <v>327</v>
      </c>
      <c r="C24" t="s">
        <v>359</v>
      </c>
      <c r="D24" t="s">
        <v>28</v>
      </c>
      <c r="E24">
        <v>4</v>
      </c>
      <c r="F24" t="s">
        <v>30</v>
      </c>
      <c r="I24" t="s">
        <v>346</v>
      </c>
    </row>
    <row r="25" spans="1:10" x14ac:dyDescent="0.25">
      <c r="A25" t="s">
        <v>346</v>
      </c>
      <c r="C25" t="s">
        <v>359</v>
      </c>
      <c r="F25" t="s">
        <v>322</v>
      </c>
      <c r="G25">
        <v>45000</v>
      </c>
    </row>
    <row r="26" spans="1:10" x14ac:dyDescent="0.25">
      <c r="A26" t="s">
        <v>295</v>
      </c>
      <c r="B26" t="s">
        <v>327</v>
      </c>
      <c r="C26" t="s">
        <v>359</v>
      </c>
      <c r="D26" t="s">
        <v>27</v>
      </c>
      <c r="E26">
        <v>4</v>
      </c>
      <c r="F26" t="s">
        <v>30</v>
      </c>
      <c r="I26" t="s">
        <v>347</v>
      </c>
    </row>
    <row r="27" spans="1:10" x14ac:dyDescent="0.25">
      <c r="A27" t="s">
        <v>347</v>
      </c>
      <c r="C27" t="s">
        <v>359</v>
      </c>
      <c r="F27" t="s">
        <v>322</v>
      </c>
      <c r="G27">
        <v>45000</v>
      </c>
    </row>
    <row r="28" spans="1:10" x14ac:dyDescent="0.25">
      <c r="A28" t="s">
        <v>296</v>
      </c>
      <c r="B28" t="s">
        <v>326</v>
      </c>
      <c r="C28" t="s">
        <v>359</v>
      </c>
      <c r="D28" t="s">
        <v>29</v>
      </c>
      <c r="E28">
        <v>4</v>
      </c>
      <c r="F28" t="s">
        <v>30</v>
      </c>
      <c r="I28" t="s">
        <v>348</v>
      </c>
    </row>
    <row r="30" spans="1:10" x14ac:dyDescent="0.25">
      <c r="A30" t="s">
        <v>361</v>
      </c>
      <c r="B30" t="s">
        <v>314</v>
      </c>
      <c r="C30" t="s">
        <v>359</v>
      </c>
      <c r="D30" t="s">
        <v>27</v>
      </c>
      <c r="E30">
        <v>8</v>
      </c>
      <c r="F30" t="s">
        <v>33</v>
      </c>
      <c r="H30">
        <v>120000</v>
      </c>
      <c r="I30" t="s">
        <v>349</v>
      </c>
      <c r="J30" t="s">
        <v>354</v>
      </c>
    </row>
    <row r="31" spans="1:10" x14ac:dyDescent="0.25">
      <c r="A31" t="s">
        <v>349</v>
      </c>
      <c r="C31" t="s">
        <v>359</v>
      </c>
      <c r="F31" t="s">
        <v>322</v>
      </c>
      <c r="G31">
        <v>45000</v>
      </c>
    </row>
    <row r="32" spans="1:10" x14ac:dyDescent="0.25">
      <c r="A32" t="s">
        <v>303</v>
      </c>
      <c r="B32" t="s">
        <v>315</v>
      </c>
      <c r="D32" t="s">
        <v>27</v>
      </c>
      <c r="E32">
        <v>8</v>
      </c>
      <c r="F32" t="s">
        <v>33</v>
      </c>
    </row>
    <row r="34" spans="1:10" x14ac:dyDescent="0.25">
      <c r="A34" t="s">
        <v>362</v>
      </c>
      <c r="B34" t="s">
        <v>319</v>
      </c>
      <c r="C34" t="s">
        <v>359</v>
      </c>
      <c r="D34" t="s">
        <v>28</v>
      </c>
      <c r="E34">
        <v>8</v>
      </c>
      <c r="F34" t="s">
        <v>33</v>
      </c>
      <c r="H34">
        <v>120000</v>
      </c>
      <c r="I34" t="s">
        <v>350</v>
      </c>
      <c r="J34" t="s">
        <v>353</v>
      </c>
    </row>
    <row r="35" spans="1:10" x14ac:dyDescent="0.25">
      <c r="A35" t="s">
        <v>350</v>
      </c>
      <c r="C35" t="s">
        <v>359</v>
      </c>
      <c r="F35" t="s">
        <v>322</v>
      </c>
      <c r="G35">
        <v>45000</v>
      </c>
    </row>
    <row r="36" spans="1:10" x14ac:dyDescent="0.25">
      <c r="A36" t="s">
        <v>324</v>
      </c>
      <c r="B36" t="s">
        <v>325</v>
      </c>
      <c r="C36" t="s">
        <v>359</v>
      </c>
      <c r="D36" t="s">
        <v>27</v>
      </c>
      <c r="E36">
        <v>6</v>
      </c>
      <c r="F36" t="s">
        <v>33</v>
      </c>
      <c r="H36">
        <v>1500</v>
      </c>
    </row>
    <row r="37" spans="1:10" x14ac:dyDescent="0.25">
      <c r="A37" t="s">
        <v>304</v>
      </c>
      <c r="B37" t="s">
        <v>316</v>
      </c>
      <c r="C37" t="s">
        <v>359</v>
      </c>
      <c r="D37" t="s">
        <v>27</v>
      </c>
      <c r="E37">
        <v>6</v>
      </c>
      <c r="F37" t="s">
        <v>33</v>
      </c>
      <c r="H37">
        <v>1500</v>
      </c>
    </row>
    <row r="38" spans="1:10" x14ac:dyDescent="0.25">
      <c r="A38" t="s">
        <v>305</v>
      </c>
      <c r="B38" t="s">
        <v>317</v>
      </c>
      <c r="C38" t="s">
        <v>360</v>
      </c>
      <c r="D38" t="s">
        <v>29</v>
      </c>
      <c r="E38">
        <v>6</v>
      </c>
      <c r="F38" t="s">
        <v>33</v>
      </c>
      <c r="H38">
        <v>1500</v>
      </c>
    </row>
    <row r="40" spans="1:10" x14ac:dyDescent="0.25">
      <c r="A40" t="s">
        <v>363</v>
      </c>
      <c r="B40" t="s">
        <v>320</v>
      </c>
      <c r="C40" t="s">
        <v>359</v>
      </c>
      <c r="D40" t="s">
        <v>29</v>
      </c>
      <c r="E40">
        <v>8</v>
      </c>
      <c r="F40" t="s">
        <v>33</v>
      </c>
      <c r="H40">
        <v>120000</v>
      </c>
      <c r="I40" t="s">
        <v>351</v>
      </c>
      <c r="J40" t="s">
        <v>352</v>
      </c>
    </row>
    <row r="41" spans="1:10" x14ac:dyDescent="0.25">
      <c r="A41" t="s">
        <v>351</v>
      </c>
      <c r="C41" t="s">
        <v>359</v>
      </c>
      <c r="F41" t="s">
        <v>322</v>
      </c>
      <c r="G41">
        <v>45000</v>
      </c>
    </row>
    <row r="42" spans="1:10" x14ac:dyDescent="0.25">
      <c r="A42" t="s">
        <v>306</v>
      </c>
      <c r="B42" t="s">
        <v>321</v>
      </c>
      <c r="C42" t="s">
        <v>360</v>
      </c>
      <c r="F42" t="s">
        <v>32</v>
      </c>
    </row>
    <row r="45" spans="1:10" x14ac:dyDescent="0.25">
      <c r="A45" t="s">
        <v>308</v>
      </c>
      <c r="B45" t="s">
        <v>335</v>
      </c>
      <c r="C45" t="s">
        <v>359</v>
      </c>
      <c r="D45" t="s">
        <v>29</v>
      </c>
      <c r="E45">
        <v>7</v>
      </c>
      <c r="F45" t="s">
        <v>33</v>
      </c>
      <c r="H45">
        <v>120000</v>
      </c>
      <c r="I45" t="s">
        <v>340</v>
      </c>
    </row>
    <row r="46" spans="1:10" x14ac:dyDescent="0.25">
      <c r="A46" t="s">
        <v>340</v>
      </c>
      <c r="C46" t="s">
        <v>359</v>
      </c>
      <c r="G46">
        <v>10000</v>
      </c>
    </row>
    <row r="47" spans="1:10" x14ac:dyDescent="0.25">
      <c r="A47" t="s">
        <v>311</v>
      </c>
      <c r="B47" t="s">
        <v>336</v>
      </c>
      <c r="C47" t="s">
        <v>359</v>
      </c>
      <c r="D47" t="s">
        <v>28</v>
      </c>
      <c r="E47">
        <v>2</v>
      </c>
      <c r="F47" t="s">
        <v>33</v>
      </c>
      <c r="H47">
        <v>120000</v>
      </c>
      <c r="I47" t="s">
        <v>337</v>
      </c>
    </row>
    <row r="48" spans="1:10" x14ac:dyDescent="0.25">
      <c r="A48" t="s">
        <v>337</v>
      </c>
      <c r="C48" t="s">
        <v>359</v>
      </c>
      <c r="G48">
        <v>20000</v>
      </c>
    </row>
    <row r="49" spans="1:9" x14ac:dyDescent="0.25">
      <c r="A49" t="s">
        <v>309</v>
      </c>
      <c r="B49" t="s">
        <v>335</v>
      </c>
      <c r="C49" t="s">
        <v>359</v>
      </c>
      <c r="D49" t="s">
        <v>29</v>
      </c>
      <c r="E49">
        <v>2</v>
      </c>
      <c r="F49" t="s">
        <v>33</v>
      </c>
      <c r="H49">
        <v>120000</v>
      </c>
      <c r="I49" t="s">
        <v>338</v>
      </c>
    </row>
    <row r="50" spans="1:9" x14ac:dyDescent="0.25">
      <c r="A50" t="s">
        <v>338</v>
      </c>
      <c r="C50" t="s">
        <v>359</v>
      </c>
      <c r="G50">
        <v>20000</v>
      </c>
    </row>
    <row r="51" spans="1:9" x14ac:dyDescent="0.25">
      <c r="A51" t="s">
        <v>312</v>
      </c>
      <c r="B51" t="s">
        <v>335</v>
      </c>
      <c r="C51" t="s">
        <v>359</v>
      </c>
      <c r="D51" t="s">
        <v>28</v>
      </c>
      <c r="E51">
        <v>7</v>
      </c>
      <c r="F51" t="s">
        <v>33</v>
      </c>
      <c r="H51">
        <v>110000</v>
      </c>
      <c r="I51" t="s">
        <v>339</v>
      </c>
    </row>
    <row r="52" spans="1:9" x14ac:dyDescent="0.25">
      <c r="A52" t="s">
        <v>339</v>
      </c>
      <c r="C52" t="s">
        <v>359</v>
      </c>
      <c r="G52">
        <v>20000</v>
      </c>
    </row>
    <row r="54" spans="1:9" x14ac:dyDescent="0.25">
      <c r="A54" t="s">
        <v>310</v>
      </c>
      <c r="B54" t="s">
        <v>341</v>
      </c>
      <c r="C54" t="s">
        <v>359</v>
      </c>
      <c r="D54" t="s">
        <v>28</v>
      </c>
      <c r="E54">
        <v>6</v>
      </c>
      <c r="F54" t="s">
        <v>33</v>
      </c>
      <c r="H54">
        <v>60000</v>
      </c>
    </row>
    <row r="55" spans="1:9" x14ac:dyDescent="0.25">
      <c r="A55" t="s">
        <v>307</v>
      </c>
      <c r="B55" t="s">
        <v>318</v>
      </c>
      <c r="C55" t="s">
        <v>359</v>
      </c>
      <c r="D55" t="s">
        <v>28</v>
      </c>
      <c r="E55">
        <v>5</v>
      </c>
      <c r="F55" t="s">
        <v>33</v>
      </c>
      <c r="H55">
        <v>15000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8C388-C543-449D-8B21-6D32E03898B2}">
  <dimension ref="A1:P72"/>
  <sheetViews>
    <sheetView workbookViewId="0">
      <pane ySplit="1" topLeftCell="A2" activePane="bottomLeft" state="frozen"/>
      <selection pane="bottomLeft" activeCell="I17" sqref="I17"/>
    </sheetView>
  </sheetViews>
  <sheetFormatPr baseColWidth="10" defaultRowHeight="15" x14ac:dyDescent="0.25"/>
  <cols>
    <col min="1" max="1" width="25.140625" bestFit="1" customWidth="1"/>
    <col min="2" max="2" width="5.7109375" customWidth="1"/>
    <col min="3" max="3" width="6.140625" customWidth="1"/>
    <col min="4" max="4" width="13.140625" bestFit="1" customWidth="1"/>
    <col min="7" max="7" width="59" customWidth="1"/>
    <col min="8" max="8" width="23.7109375" bestFit="1" customWidth="1"/>
  </cols>
  <sheetData>
    <row r="1" spans="1:10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226</v>
      </c>
    </row>
    <row r="2" spans="1:10" x14ac:dyDescent="0.25">
      <c r="I2" t="s">
        <v>259</v>
      </c>
      <c r="J2" t="s">
        <v>276</v>
      </c>
    </row>
    <row r="4" spans="1:10" x14ac:dyDescent="0.25">
      <c r="A4" t="s">
        <v>37</v>
      </c>
      <c r="D4" t="s">
        <v>31</v>
      </c>
      <c r="E4">
        <v>2450</v>
      </c>
    </row>
    <row r="5" spans="1:10" x14ac:dyDescent="0.25">
      <c r="A5" t="s">
        <v>490</v>
      </c>
      <c r="D5" t="s">
        <v>33</v>
      </c>
      <c r="H5" t="s">
        <v>492</v>
      </c>
    </row>
    <row r="6" spans="1:10" x14ac:dyDescent="0.25">
      <c r="A6" t="s">
        <v>491</v>
      </c>
      <c r="D6" t="s">
        <v>33</v>
      </c>
      <c r="G6" t="s">
        <v>492</v>
      </c>
    </row>
    <row r="7" spans="1:10" x14ac:dyDescent="0.25">
      <c r="A7" t="s">
        <v>492</v>
      </c>
      <c r="D7" t="s">
        <v>31</v>
      </c>
      <c r="E7">
        <v>3600000</v>
      </c>
    </row>
    <row r="10" spans="1:10" x14ac:dyDescent="0.25">
      <c r="A10" t="s">
        <v>230</v>
      </c>
      <c r="B10" t="s">
        <v>27</v>
      </c>
      <c r="C10">
        <v>4</v>
      </c>
      <c r="D10" t="s">
        <v>30</v>
      </c>
      <c r="G10" t="s">
        <v>232</v>
      </c>
    </row>
    <row r="11" spans="1:10" x14ac:dyDescent="0.25">
      <c r="A11" t="s">
        <v>233</v>
      </c>
      <c r="B11" t="s">
        <v>29</v>
      </c>
      <c r="C11">
        <v>4</v>
      </c>
      <c r="D11" t="s">
        <v>30</v>
      </c>
      <c r="G11" t="s">
        <v>232</v>
      </c>
    </row>
    <row r="12" spans="1:10" x14ac:dyDescent="0.25">
      <c r="A12" t="s">
        <v>232</v>
      </c>
      <c r="D12" t="s">
        <v>31</v>
      </c>
      <c r="E12">
        <v>30000</v>
      </c>
    </row>
    <row r="13" spans="1:10" x14ac:dyDescent="0.25">
      <c r="A13" t="s">
        <v>231</v>
      </c>
      <c r="B13" t="s">
        <v>27</v>
      </c>
      <c r="C13">
        <v>5</v>
      </c>
      <c r="D13" t="s">
        <v>30</v>
      </c>
      <c r="H13" t="s">
        <v>232</v>
      </c>
    </row>
    <row r="14" spans="1:10" x14ac:dyDescent="0.25">
      <c r="A14" t="s">
        <v>234</v>
      </c>
      <c r="B14" t="s">
        <v>29</v>
      </c>
      <c r="C14">
        <v>5</v>
      </c>
      <c r="D14" t="s">
        <v>30</v>
      </c>
      <c r="H14" t="s">
        <v>232</v>
      </c>
    </row>
    <row r="15" spans="1:10" x14ac:dyDescent="0.25">
      <c r="A15" t="s">
        <v>247</v>
      </c>
      <c r="D15" t="s">
        <v>32</v>
      </c>
      <c r="E15">
        <v>30000</v>
      </c>
    </row>
    <row r="16" spans="1:10" x14ac:dyDescent="0.25">
      <c r="A16" t="s">
        <v>283</v>
      </c>
      <c r="D16" t="s">
        <v>32</v>
      </c>
      <c r="E16">
        <v>30000</v>
      </c>
    </row>
    <row r="17" spans="1:16" x14ac:dyDescent="0.25">
      <c r="A17" t="s">
        <v>235</v>
      </c>
      <c r="B17" t="s">
        <v>27</v>
      </c>
      <c r="C17">
        <v>7</v>
      </c>
      <c r="D17" t="s">
        <v>30</v>
      </c>
      <c r="P17" t="s">
        <v>454</v>
      </c>
    </row>
    <row r="18" spans="1:16" x14ac:dyDescent="0.25">
      <c r="A18" t="s">
        <v>237</v>
      </c>
      <c r="B18" t="s">
        <v>29</v>
      </c>
      <c r="C18">
        <v>7</v>
      </c>
      <c r="D18" t="s">
        <v>30</v>
      </c>
      <c r="O18" t="s">
        <v>456</v>
      </c>
      <c r="P18" t="s">
        <v>454</v>
      </c>
    </row>
    <row r="19" spans="1:16" x14ac:dyDescent="0.25">
      <c r="A19" t="s">
        <v>248</v>
      </c>
      <c r="D19" t="s">
        <v>32</v>
      </c>
      <c r="E19">
        <v>30000</v>
      </c>
    </row>
    <row r="20" spans="1:16" x14ac:dyDescent="0.25">
      <c r="A20" t="s">
        <v>284</v>
      </c>
      <c r="D20" t="s">
        <v>32</v>
      </c>
      <c r="E20">
        <v>30000</v>
      </c>
    </row>
    <row r="21" spans="1:16" x14ac:dyDescent="0.25">
      <c r="A21" t="s">
        <v>236</v>
      </c>
      <c r="B21" t="s">
        <v>27</v>
      </c>
      <c r="C21">
        <v>8</v>
      </c>
      <c r="D21" t="s">
        <v>30</v>
      </c>
      <c r="P21" t="s">
        <v>455</v>
      </c>
    </row>
    <row r="22" spans="1:16" x14ac:dyDescent="0.25">
      <c r="A22" t="s">
        <v>238</v>
      </c>
      <c r="B22" t="s">
        <v>29</v>
      </c>
      <c r="C22">
        <v>8</v>
      </c>
      <c r="D22" t="s">
        <v>30</v>
      </c>
      <c r="P22" t="s">
        <v>455</v>
      </c>
    </row>
    <row r="24" spans="1:16" x14ac:dyDescent="0.25">
      <c r="A24" t="s">
        <v>265</v>
      </c>
      <c r="B24" t="s">
        <v>27</v>
      </c>
      <c r="C24">
        <v>9</v>
      </c>
      <c r="D24" t="s">
        <v>30</v>
      </c>
      <c r="F24">
        <v>30000</v>
      </c>
      <c r="G24" t="s">
        <v>281</v>
      </c>
    </row>
    <row r="25" spans="1:16" x14ac:dyDescent="0.25">
      <c r="A25" t="s">
        <v>286</v>
      </c>
      <c r="D25" t="s">
        <v>30</v>
      </c>
      <c r="F25">
        <v>30000</v>
      </c>
      <c r="G25" t="s">
        <v>287</v>
      </c>
      <c r="H25" t="s">
        <v>285</v>
      </c>
    </row>
    <row r="26" spans="1:16" x14ac:dyDescent="0.25">
      <c r="A26" t="s">
        <v>266</v>
      </c>
      <c r="D26" t="s">
        <v>31</v>
      </c>
      <c r="E26">
        <v>15000</v>
      </c>
    </row>
    <row r="27" spans="1:16" x14ac:dyDescent="0.25">
      <c r="A27" t="s">
        <v>267</v>
      </c>
      <c r="B27" t="s">
        <v>27</v>
      </c>
      <c r="C27">
        <v>9</v>
      </c>
      <c r="D27" t="s">
        <v>258</v>
      </c>
      <c r="G27" t="s">
        <v>251</v>
      </c>
      <c r="H27" t="s">
        <v>266</v>
      </c>
    </row>
    <row r="28" spans="1:16" x14ac:dyDescent="0.25">
      <c r="A28" t="s">
        <v>271</v>
      </c>
      <c r="D28" t="s">
        <v>258</v>
      </c>
      <c r="G28" t="s">
        <v>251</v>
      </c>
      <c r="H28" t="s">
        <v>266</v>
      </c>
    </row>
    <row r="29" spans="1:16" x14ac:dyDescent="0.25">
      <c r="A29" t="s">
        <v>269</v>
      </c>
      <c r="D29" t="s">
        <v>258</v>
      </c>
      <c r="G29" t="s">
        <v>251</v>
      </c>
      <c r="H29" t="s">
        <v>266</v>
      </c>
    </row>
    <row r="30" spans="1:16" x14ac:dyDescent="0.25">
      <c r="A30" t="s">
        <v>275</v>
      </c>
      <c r="D30" t="s">
        <v>31</v>
      </c>
      <c r="E30">
        <v>30000</v>
      </c>
    </row>
    <row r="31" spans="1:16" x14ac:dyDescent="0.25">
      <c r="A31" t="s">
        <v>251</v>
      </c>
      <c r="D31" t="s">
        <v>32</v>
      </c>
      <c r="E31">
        <v>30000</v>
      </c>
    </row>
    <row r="32" spans="1:16" x14ac:dyDescent="0.25">
      <c r="A32" t="s">
        <v>252</v>
      </c>
      <c r="B32" t="s">
        <v>29</v>
      </c>
      <c r="C32">
        <v>9</v>
      </c>
      <c r="D32" t="s">
        <v>30</v>
      </c>
      <c r="H32" t="s">
        <v>251</v>
      </c>
    </row>
    <row r="34" spans="1:11" x14ac:dyDescent="0.25">
      <c r="A34" t="s">
        <v>249</v>
      </c>
      <c r="B34" t="s">
        <v>28</v>
      </c>
      <c r="C34">
        <v>9</v>
      </c>
      <c r="D34" t="s">
        <v>30</v>
      </c>
      <c r="G34" t="s">
        <v>280</v>
      </c>
      <c r="H34" t="s">
        <v>492</v>
      </c>
    </row>
    <row r="35" spans="1:11" x14ac:dyDescent="0.25">
      <c r="A35" t="s">
        <v>250</v>
      </c>
      <c r="D35" t="s">
        <v>31</v>
      </c>
      <c r="E35">
        <v>15000</v>
      </c>
    </row>
    <row r="36" spans="1:11" x14ac:dyDescent="0.25">
      <c r="A36" t="s">
        <v>253</v>
      </c>
      <c r="B36" t="s">
        <v>28</v>
      </c>
      <c r="C36">
        <v>9</v>
      </c>
      <c r="D36" t="s">
        <v>258</v>
      </c>
      <c r="G36" t="s">
        <v>290</v>
      </c>
      <c r="H36" t="s">
        <v>250</v>
      </c>
      <c r="K36" t="s">
        <v>282</v>
      </c>
    </row>
    <row r="37" spans="1:11" x14ac:dyDescent="0.25">
      <c r="A37" t="s">
        <v>273</v>
      </c>
      <c r="D37" t="s">
        <v>258</v>
      </c>
      <c r="G37" t="s">
        <v>290</v>
      </c>
      <c r="H37" t="s">
        <v>250</v>
      </c>
    </row>
    <row r="38" spans="1:11" x14ac:dyDescent="0.25">
      <c r="A38" t="s">
        <v>274</v>
      </c>
      <c r="D38" t="s">
        <v>258</v>
      </c>
      <c r="G38" t="s">
        <v>290</v>
      </c>
      <c r="H38" t="s">
        <v>250</v>
      </c>
    </row>
    <row r="39" spans="1:11" x14ac:dyDescent="0.25">
      <c r="A39" t="s">
        <v>270</v>
      </c>
      <c r="D39" t="s">
        <v>258</v>
      </c>
      <c r="G39" t="s">
        <v>290</v>
      </c>
      <c r="H39" t="s">
        <v>250</v>
      </c>
    </row>
    <row r="40" spans="1:11" x14ac:dyDescent="0.25">
      <c r="A40" t="s">
        <v>268</v>
      </c>
      <c r="D40" t="s">
        <v>258</v>
      </c>
      <c r="G40" t="s">
        <v>290</v>
      </c>
      <c r="H40" t="s">
        <v>250</v>
      </c>
    </row>
    <row r="41" spans="1:11" x14ac:dyDescent="0.25">
      <c r="A41" t="s">
        <v>272</v>
      </c>
      <c r="D41" t="s">
        <v>31</v>
      </c>
      <c r="E41">
        <v>120000</v>
      </c>
    </row>
    <row r="42" spans="1:11" x14ac:dyDescent="0.25">
      <c r="A42" t="s">
        <v>277</v>
      </c>
      <c r="D42" t="s">
        <v>31</v>
      </c>
      <c r="E42">
        <v>20000</v>
      </c>
    </row>
    <row r="43" spans="1:11" x14ac:dyDescent="0.25">
      <c r="A43" t="s">
        <v>260</v>
      </c>
      <c r="D43" t="s">
        <v>32</v>
      </c>
      <c r="E43">
        <v>30000</v>
      </c>
    </row>
    <row r="44" spans="1:11" x14ac:dyDescent="0.25">
      <c r="A44" t="s">
        <v>261</v>
      </c>
      <c r="B44" t="s">
        <v>28</v>
      </c>
      <c r="C44">
        <v>9</v>
      </c>
      <c r="D44" t="s">
        <v>30</v>
      </c>
      <c r="H44" t="s">
        <v>260</v>
      </c>
    </row>
    <row r="45" spans="1:11" x14ac:dyDescent="0.25">
      <c r="A45" t="s">
        <v>254</v>
      </c>
      <c r="B45" t="s">
        <v>27</v>
      </c>
      <c r="C45">
        <v>4</v>
      </c>
      <c r="D45" t="s">
        <v>258</v>
      </c>
      <c r="F45">
        <v>1000</v>
      </c>
    </row>
    <row r="46" spans="1:11" x14ac:dyDescent="0.25">
      <c r="A46" t="s">
        <v>255</v>
      </c>
      <c r="B46" t="s">
        <v>27</v>
      </c>
      <c r="C46">
        <v>5</v>
      </c>
      <c r="D46" t="s">
        <v>258</v>
      </c>
      <c r="F46">
        <v>1000</v>
      </c>
    </row>
    <row r="47" spans="1:11" x14ac:dyDescent="0.25">
      <c r="A47" t="s">
        <v>256</v>
      </c>
      <c r="B47" t="s">
        <v>27</v>
      </c>
      <c r="C47">
        <v>7</v>
      </c>
      <c r="D47" t="s">
        <v>258</v>
      </c>
      <c r="F47">
        <v>1000</v>
      </c>
    </row>
    <row r="48" spans="1:11" x14ac:dyDescent="0.25">
      <c r="A48" t="s">
        <v>257</v>
      </c>
      <c r="B48" t="s">
        <v>27</v>
      </c>
      <c r="C48">
        <v>8</v>
      </c>
      <c r="D48" t="s">
        <v>258</v>
      </c>
      <c r="F48">
        <v>1000</v>
      </c>
    </row>
    <row r="51" spans="1:10" x14ac:dyDescent="0.25">
      <c r="A51" t="s">
        <v>239</v>
      </c>
      <c r="B51" t="s">
        <v>27</v>
      </c>
      <c r="C51">
        <v>6</v>
      </c>
      <c r="D51" t="s">
        <v>33</v>
      </c>
      <c r="E51">
        <v>1000</v>
      </c>
      <c r="F51">
        <v>1000</v>
      </c>
      <c r="I51">
        <v>-1</v>
      </c>
    </row>
    <row r="52" spans="1:10" x14ac:dyDescent="0.25">
      <c r="A52" t="s">
        <v>240</v>
      </c>
      <c r="B52" t="s">
        <v>29</v>
      </c>
      <c r="C52">
        <v>6</v>
      </c>
      <c r="D52" t="s">
        <v>33</v>
      </c>
      <c r="F52">
        <v>1000</v>
      </c>
      <c r="I52">
        <v>-1</v>
      </c>
    </row>
    <row r="53" spans="1:10" x14ac:dyDescent="0.25">
      <c r="A53" t="s">
        <v>262</v>
      </c>
      <c r="D53" t="s">
        <v>32</v>
      </c>
      <c r="E53">
        <v>30000</v>
      </c>
    </row>
    <row r="54" spans="1:10" x14ac:dyDescent="0.25">
      <c r="A54" t="s">
        <v>241</v>
      </c>
      <c r="B54" t="s">
        <v>28</v>
      </c>
      <c r="C54">
        <v>6</v>
      </c>
      <c r="D54" t="s">
        <v>33</v>
      </c>
      <c r="F54">
        <v>1000</v>
      </c>
      <c r="H54" t="s">
        <v>262</v>
      </c>
    </row>
    <row r="55" spans="1:10" x14ac:dyDescent="0.25">
      <c r="A55" t="s">
        <v>263</v>
      </c>
      <c r="D55" t="s">
        <v>32</v>
      </c>
      <c r="E55">
        <v>30000</v>
      </c>
    </row>
    <row r="56" spans="1:10" x14ac:dyDescent="0.25">
      <c r="A56" t="s">
        <v>242</v>
      </c>
      <c r="B56" t="s">
        <v>28</v>
      </c>
      <c r="C56">
        <v>5</v>
      </c>
      <c r="D56" t="s">
        <v>33</v>
      </c>
      <c r="F56">
        <v>1000</v>
      </c>
      <c r="H56" t="s">
        <v>263</v>
      </c>
    </row>
    <row r="58" spans="1:10" x14ac:dyDescent="0.25">
      <c r="A58" t="s">
        <v>243</v>
      </c>
      <c r="B58" t="s">
        <v>28</v>
      </c>
      <c r="C58">
        <v>4</v>
      </c>
      <c r="D58" t="s">
        <v>30</v>
      </c>
      <c r="J58">
        <v>-50</v>
      </c>
    </row>
    <row r="59" spans="1:10" x14ac:dyDescent="0.25">
      <c r="A59" t="s">
        <v>289</v>
      </c>
      <c r="D59" t="s">
        <v>32</v>
      </c>
      <c r="E59">
        <v>30000</v>
      </c>
    </row>
    <row r="60" spans="1:10" x14ac:dyDescent="0.25">
      <c r="A60" t="s">
        <v>288</v>
      </c>
      <c r="B60" t="s">
        <v>28</v>
      </c>
      <c r="C60">
        <v>4</v>
      </c>
      <c r="D60" t="s">
        <v>30</v>
      </c>
      <c r="H60" t="s">
        <v>289</v>
      </c>
      <c r="J60">
        <v>-50</v>
      </c>
    </row>
    <row r="62" spans="1:10" x14ac:dyDescent="0.25">
      <c r="A62" t="s">
        <v>279</v>
      </c>
      <c r="B62" t="s">
        <v>28</v>
      </c>
      <c r="C62">
        <v>2</v>
      </c>
      <c r="D62" t="s">
        <v>33</v>
      </c>
      <c r="F62">
        <v>120000</v>
      </c>
      <c r="G62" t="s">
        <v>278</v>
      </c>
    </row>
    <row r="63" spans="1:10" x14ac:dyDescent="0.25">
      <c r="A63" t="s">
        <v>244</v>
      </c>
      <c r="D63" t="s">
        <v>31</v>
      </c>
      <c r="E63">
        <v>20000</v>
      </c>
    </row>
    <row r="64" spans="1:10" x14ac:dyDescent="0.25">
      <c r="A64" t="s">
        <v>246</v>
      </c>
      <c r="D64" t="s">
        <v>32</v>
      </c>
      <c r="E64">
        <v>20000</v>
      </c>
    </row>
    <row r="65" spans="1:8" x14ac:dyDescent="0.25">
      <c r="A65" t="s">
        <v>245</v>
      </c>
      <c r="B65" t="s">
        <v>28</v>
      </c>
      <c r="C65">
        <v>7</v>
      </c>
      <c r="D65" t="s">
        <v>30</v>
      </c>
      <c r="H65" t="s">
        <v>246</v>
      </c>
    </row>
    <row r="67" spans="1:8" x14ac:dyDescent="0.25">
      <c r="A67" t="s">
        <v>264</v>
      </c>
      <c r="B67" t="s">
        <v>27</v>
      </c>
      <c r="C67">
        <v>12</v>
      </c>
      <c r="D67" t="s">
        <v>33</v>
      </c>
      <c r="F67">
        <v>60000</v>
      </c>
      <c r="G67" t="s">
        <v>457</v>
      </c>
    </row>
    <row r="68" spans="1:8" x14ac:dyDescent="0.25">
      <c r="A68" t="s">
        <v>285</v>
      </c>
      <c r="D68" t="s">
        <v>32</v>
      </c>
      <c r="E68">
        <v>30000</v>
      </c>
    </row>
    <row r="70" spans="1:8" x14ac:dyDescent="0.25">
      <c r="A70" t="s">
        <v>384</v>
      </c>
      <c r="B70" t="s">
        <v>28</v>
      </c>
      <c r="C70">
        <v>11</v>
      </c>
      <c r="D70" t="s">
        <v>33</v>
      </c>
      <c r="G70" t="s">
        <v>386</v>
      </c>
    </row>
    <row r="71" spans="1:8" x14ac:dyDescent="0.25">
      <c r="A71" t="s">
        <v>386</v>
      </c>
      <c r="D71" t="s">
        <v>31</v>
      </c>
      <c r="E71">
        <v>15000</v>
      </c>
    </row>
    <row r="72" spans="1:8" x14ac:dyDescent="0.25">
      <c r="A72" t="s">
        <v>385</v>
      </c>
      <c r="B72" t="s">
        <v>28</v>
      </c>
      <c r="C72">
        <v>11</v>
      </c>
      <c r="D72" t="s">
        <v>33</v>
      </c>
      <c r="H72" t="s">
        <v>386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1DB23-C434-4F35-8B4F-998D4295A585}">
  <dimension ref="A1:P80"/>
  <sheetViews>
    <sheetView tabSelected="1" workbookViewId="0">
      <pane ySplit="1" topLeftCell="A2" activePane="bottomLeft" state="frozen"/>
      <selection pane="bottomLeft" activeCell="G7" sqref="G7"/>
    </sheetView>
  </sheetViews>
  <sheetFormatPr baseColWidth="10" defaultRowHeight="15" x14ac:dyDescent="0.25"/>
  <cols>
    <col min="1" max="1" width="23.140625" bestFit="1" customWidth="1"/>
    <col min="4" max="4" width="13.140625" bestFit="1" customWidth="1"/>
    <col min="7" max="7" width="27.5703125" bestFit="1" customWidth="1"/>
    <col min="8" max="8" width="42.42578125" bestFit="1" customWidth="1"/>
    <col min="9" max="9" width="12.42578125" bestFit="1" customWidth="1"/>
    <col min="10" max="10" width="18" bestFit="1" customWidth="1"/>
  </cols>
  <sheetData>
    <row r="1" spans="1:14" ht="18.75" x14ac:dyDescent="0.3">
      <c r="A1" s="1" t="s">
        <v>24</v>
      </c>
      <c r="B1" s="1" t="s">
        <v>25</v>
      </c>
      <c r="C1" s="1" t="s">
        <v>26</v>
      </c>
      <c r="D1" s="1" t="s">
        <v>36</v>
      </c>
      <c r="E1" s="1" t="s">
        <v>34</v>
      </c>
      <c r="F1" s="1" t="s">
        <v>35</v>
      </c>
      <c r="G1" s="1" t="s">
        <v>38</v>
      </c>
      <c r="H1" s="1" t="s">
        <v>39</v>
      </c>
      <c r="I1" s="1" t="s">
        <v>81</v>
      </c>
      <c r="J1" s="1" t="s">
        <v>226</v>
      </c>
      <c r="K1" s="1" t="s">
        <v>313</v>
      </c>
    </row>
    <row r="2" spans="1:14" x14ac:dyDescent="0.25">
      <c r="I2" t="s">
        <v>460</v>
      </c>
    </row>
    <row r="3" spans="1:14" x14ac:dyDescent="0.25">
      <c r="A3" t="s">
        <v>37</v>
      </c>
      <c r="D3" t="s">
        <v>31</v>
      </c>
      <c r="E3">
        <v>1960</v>
      </c>
      <c r="K3" t="s">
        <v>445</v>
      </c>
    </row>
    <row r="4" spans="1:14" x14ac:dyDescent="0.25">
      <c r="A4" t="s">
        <v>490</v>
      </c>
      <c r="H4" t="s">
        <v>492</v>
      </c>
    </row>
    <row r="5" spans="1:14" x14ac:dyDescent="0.25">
      <c r="A5" t="s">
        <v>491</v>
      </c>
      <c r="G5" t="s">
        <v>492</v>
      </c>
    </row>
    <row r="6" spans="1:14" x14ac:dyDescent="0.25">
      <c r="A6" t="s">
        <v>492</v>
      </c>
      <c r="D6" t="s">
        <v>31</v>
      </c>
      <c r="E6">
        <v>3600000</v>
      </c>
    </row>
    <row r="7" spans="1:14" x14ac:dyDescent="0.25">
      <c r="A7" t="s">
        <v>494</v>
      </c>
      <c r="B7" t="s">
        <v>27</v>
      </c>
      <c r="C7" t="s">
        <v>493</v>
      </c>
      <c r="D7" t="s">
        <v>33</v>
      </c>
      <c r="F7">
        <v>300000</v>
      </c>
    </row>
    <row r="9" spans="1:14" x14ac:dyDescent="0.25">
      <c r="A9" t="s">
        <v>446</v>
      </c>
      <c r="D9" t="s">
        <v>32</v>
      </c>
      <c r="E9">
        <v>30000</v>
      </c>
    </row>
    <row r="10" spans="1:14" x14ac:dyDescent="0.25">
      <c r="A10" t="s">
        <v>458</v>
      </c>
      <c r="D10" t="s">
        <v>31</v>
      </c>
      <c r="E10">
        <v>3600000</v>
      </c>
    </row>
    <row r="11" spans="1:14" x14ac:dyDescent="0.25">
      <c r="A11" t="s">
        <v>387</v>
      </c>
      <c r="B11" t="s">
        <v>27</v>
      </c>
      <c r="C11">
        <v>4</v>
      </c>
      <c r="D11" t="s">
        <v>30</v>
      </c>
      <c r="G11" t="s">
        <v>447</v>
      </c>
      <c r="H11" t="s">
        <v>477</v>
      </c>
      <c r="K11" t="s">
        <v>395</v>
      </c>
      <c r="N11" t="s">
        <v>409</v>
      </c>
    </row>
    <row r="12" spans="1:14" x14ac:dyDescent="0.25">
      <c r="A12" t="s">
        <v>388</v>
      </c>
      <c r="B12" t="s">
        <v>28</v>
      </c>
      <c r="C12">
        <v>4</v>
      </c>
      <c r="D12" t="s">
        <v>30</v>
      </c>
      <c r="G12" t="s">
        <v>461</v>
      </c>
      <c r="H12" t="s">
        <v>478</v>
      </c>
      <c r="K12" t="s">
        <v>396</v>
      </c>
      <c r="M12" t="s">
        <v>451</v>
      </c>
      <c r="N12" t="s">
        <v>410</v>
      </c>
    </row>
    <row r="13" spans="1:14" x14ac:dyDescent="0.25">
      <c r="A13" t="s">
        <v>389</v>
      </c>
      <c r="B13" t="s">
        <v>29</v>
      </c>
      <c r="C13">
        <v>4</v>
      </c>
      <c r="D13" t="s">
        <v>30</v>
      </c>
      <c r="G13" t="s">
        <v>447</v>
      </c>
      <c r="H13" t="s">
        <v>478</v>
      </c>
      <c r="K13" t="s">
        <v>397</v>
      </c>
    </row>
    <row r="15" spans="1:14" x14ac:dyDescent="0.25">
      <c r="A15" t="s">
        <v>447</v>
      </c>
      <c r="D15" t="s">
        <v>32</v>
      </c>
      <c r="E15">
        <v>30000</v>
      </c>
    </row>
    <row r="16" spans="1:14" x14ac:dyDescent="0.25">
      <c r="A16" t="s">
        <v>459</v>
      </c>
      <c r="D16" t="s">
        <v>31</v>
      </c>
      <c r="E16">
        <v>3600000</v>
      </c>
    </row>
    <row r="17" spans="1:14" x14ac:dyDescent="0.25">
      <c r="A17" t="s">
        <v>390</v>
      </c>
      <c r="B17" t="s">
        <v>27</v>
      </c>
      <c r="C17">
        <v>5</v>
      </c>
      <c r="D17" t="s">
        <v>30</v>
      </c>
      <c r="G17" t="s">
        <v>448</v>
      </c>
      <c r="H17" t="s">
        <v>479</v>
      </c>
      <c r="K17" t="s">
        <v>399</v>
      </c>
      <c r="N17" s="12" t="s">
        <v>452</v>
      </c>
    </row>
    <row r="18" spans="1:14" x14ac:dyDescent="0.25">
      <c r="A18" t="s">
        <v>391</v>
      </c>
      <c r="B18" t="s">
        <v>28</v>
      </c>
      <c r="C18">
        <v>5</v>
      </c>
      <c r="D18" t="s">
        <v>30</v>
      </c>
      <c r="G18" t="s">
        <v>462</v>
      </c>
      <c r="H18" t="s">
        <v>480</v>
      </c>
      <c r="K18" t="s">
        <v>400</v>
      </c>
      <c r="M18" t="s">
        <v>450</v>
      </c>
    </row>
    <row r="19" spans="1:14" x14ac:dyDescent="0.25">
      <c r="A19" t="s">
        <v>393</v>
      </c>
      <c r="B19" t="s">
        <v>29</v>
      </c>
      <c r="C19">
        <v>5</v>
      </c>
      <c r="D19" t="s">
        <v>30</v>
      </c>
      <c r="G19" t="s">
        <v>448</v>
      </c>
      <c r="H19" t="s">
        <v>480</v>
      </c>
      <c r="K19" t="s">
        <v>401</v>
      </c>
    </row>
    <row r="21" spans="1:14" x14ac:dyDescent="0.25">
      <c r="A21" t="s">
        <v>448</v>
      </c>
      <c r="D21" t="s">
        <v>32</v>
      </c>
      <c r="E21">
        <v>30000</v>
      </c>
    </row>
    <row r="22" spans="1:14" x14ac:dyDescent="0.25">
      <c r="A22" t="s">
        <v>394</v>
      </c>
      <c r="B22" t="s">
        <v>27</v>
      </c>
      <c r="C22">
        <v>6</v>
      </c>
      <c r="D22" t="s">
        <v>30</v>
      </c>
      <c r="G22" t="s">
        <v>446</v>
      </c>
      <c r="H22" t="s">
        <v>481</v>
      </c>
      <c r="I22">
        <v>-1</v>
      </c>
      <c r="K22" t="s">
        <v>402</v>
      </c>
    </row>
    <row r="23" spans="1:14" x14ac:dyDescent="0.25">
      <c r="A23" t="s">
        <v>392</v>
      </c>
      <c r="B23" t="s">
        <v>28</v>
      </c>
      <c r="C23">
        <v>6</v>
      </c>
      <c r="D23" t="s">
        <v>30</v>
      </c>
      <c r="G23" t="s">
        <v>446</v>
      </c>
      <c r="H23" t="s">
        <v>481</v>
      </c>
      <c r="I23">
        <v>2</v>
      </c>
      <c r="K23" t="s">
        <v>403</v>
      </c>
      <c r="M23" t="s">
        <v>449</v>
      </c>
    </row>
    <row r="24" spans="1:14" x14ac:dyDescent="0.25">
      <c r="A24" t="s">
        <v>398</v>
      </c>
      <c r="B24" t="s">
        <v>29</v>
      </c>
      <c r="C24">
        <v>6</v>
      </c>
      <c r="D24" t="s">
        <v>30</v>
      </c>
      <c r="G24" t="s">
        <v>446</v>
      </c>
      <c r="H24" t="s">
        <v>481</v>
      </c>
      <c r="K24" t="s">
        <v>404</v>
      </c>
    </row>
    <row r="26" spans="1:14" x14ac:dyDescent="0.25">
      <c r="A26" t="s">
        <v>411</v>
      </c>
      <c r="B26" t="s">
        <v>27</v>
      </c>
      <c r="C26">
        <v>3</v>
      </c>
      <c r="D26" t="s">
        <v>30</v>
      </c>
      <c r="F26">
        <f>2*E3</f>
        <v>3920</v>
      </c>
      <c r="K26" t="s">
        <v>412</v>
      </c>
      <c r="N26" t="s">
        <v>413</v>
      </c>
    </row>
    <row r="27" spans="1:14" x14ac:dyDescent="0.25">
      <c r="A27" t="s">
        <v>465</v>
      </c>
      <c r="B27" t="s">
        <v>27</v>
      </c>
      <c r="C27">
        <v>7</v>
      </c>
      <c r="D27" t="s">
        <v>30</v>
      </c>
      <c r="F27">
        <v>1000</v>
      </c>
      <c r="K27" t="s">
        <v>407</v>
      </c>
      <c r="N27" t="s">
        <v>413</v>
      </c>
    </row>
    <row r="28" spans="1:14" x14ac:dyDescent="0.25">
      <c r="A28" t="s">
        <v>466</v>
      </c>
      <c r="B28" t="s">
        <v>27</v>
      </c>
      <c r="C28">
        <v>7</v>
      </c>
      <c r="D28" t="s">
        <v>33</v>
      </c>
      <c r="K28" t="s">
        <v>408</v>
      </c>
    </row>
    <row r="29" spans="1:14" x14ac:dyDescent="0.25">
      <c r="A29" t="s">
        <v>405</v>
      </c>
      <c r="B29" t="s">
        <v>29</v>
      </c>
      <c r="C29">
        <v>7</v>
      </c>
      <c r="D29" t="s">
        <v>30</v>
      </c>
      <c r="F29">
        <v>1000</v>
      </c>
      <c r="K29" t="s">
        <v>407</v>
      </c>
      <c r="N29" t="s">
        <v>413</v>
      </c>
    </row>
    <row r="30" spans="1:14" x14ac:dyDescent="0.25">
      <c r="A30" t="s">
        <v>406</v>
      </c>
      <c r="B30" t="s">
        <v>29</v>
      </c>
      <c r="C30">
        <v>7</v>
      </c>
      <c r="D30" t="s">
        <v>33</v>
      </c>
      <c r="K30" t="s">
        <v>408</v>
      </c>
    </row>
    <row r="31" spans="1:14" x14ac:dyDescent="0.25">
      <c r="N31" t="s">
        <v>418</v>
      </c>
    </row>
    <row r="32" spans="1:14" x14ac:dyDescent="0.25">
      <c r="A32" t="s">
        <v>414</v>
      </c>
      <c r="B32" t="s">
        <v>27</v>
      </c>
      <c r="C32">
        <v>8</v>
      </c>
      <c r="D32" t="s">
        <v>33</v>
      </c>
      <c r="G32" t="s">
        <v>471</v>
      </c>
      <c r="H32" t="s">
        <v>489</v>
      </c>
      <c r="K32" t="s">
        <v>415</v>
      </c>
      <c r="N32" t="s">
        <v>416</v>
      </c>
    </row>
    <row r="33" spans="1:16" x14ac:dyDescent="0.25">
      <c r="A33" t="s">
        <v>471</v>
      </c>
      <c r="D33" t="s">
        <v>31</v>
      </c>
      <c r="E33">
        <v>20000</v>
      </c>
      <c r="N33" t="s">
        <v>463</v>
      </c>
    </row>
    <row r="34" spans="1:16" x14ac:dyDescent="0.25">
      <c r="A34" t="s">
        <v>472</v>
      </c>
      <c r="D34" t="s">
        <v>31</v>
      </c>
      <c r="E34">
        <v>20000</v>
      </c>
    </row>
    <row r="35" spans="1:16" x14ac:dyDescent="0.25">
      <c r="A35" t="s">
        <v>464</v>
      </c>
    </row>
    <row r="36" spans="1:16" x14ac:dyDescent="0.25">
      <c r="A36" t="s">
        <v>422</v>
      </c>
      <c r="B36" t="s">
        <v>28</v>
      </c>
      <c r="C36">
        <v>8</v>
      </c>
      <c r="D36" t="s">
        <v>30</v>
      </c>
      <c r="N36" t="s">
        <v>417</v>
      </c>
    </row>
    <row r="37" spans="1:16" x14ac:dyDescent="0.25">
      <c r="A37" t="s">
        <v>475</v>
      </c>
      <c r="B37" t="s">
        <v>28</v>
      </c>
      <c r="C37">
        <v>8</v>
      </c>
      <c r="D37" t="s">
        <v>30</v>
      </c>
      <c r="G37" t="s">
        <v>482</v>
      </c>
      <c r="H37" t="s">
        <v>488</v>
      </c>
    </row>
    <row r="38" spans="1:16" x14ac:dyDescent="0.25">
      <c r="A38" t="s">
        <v>476</v>
      </c>
      <c r="B38" t="s">
        <v>28</v>
      </c>
      <c r="C38">
        <v>8</v>
      </c>
      <c r="D38" t="s">
        <v>30</v>
      </c>
      <c r="G38" t="s">
        <v>482</v>
      </c>
      <c r="H38" t="s">
        <v>488</v>
      </c>
    </row>
    <row r="39" spans="1:16" x14ac:dyDescent="0.25">
      <c r="A39" t="s">
        <v>473</v>
      </c>
      <c r="B39" t="s">
        <v>28</v>
      </c>
      <c r="C39">
        <v>8</v>
      </c>
      <c r="D39" t="s">
        <v>30</v>
      </c>
      <c r="G39" t="s">
        <v>482</v>
      </c>
      <c r="H39" t="s">
        <v>488</v>
      </c>
    </row>
    <row r="40" spans="1:16" x14ac:dyDescent="0.25">
      <c r="A40" t="s">
        <v>474</v>
      </c>
      <c r="B40" t="s">
        <v>28</v>
      </c>
      <c r="C40">
        <v>8</v>
      </c>
      <c r="D40" t="s">
        <v>30</v>
      </c>
      <c r="G40" t="s">
        <v>482</v>
      </c>
      <c r="H40" t="s">
        <v>472</v>
      </c>
    </row>
    <row r="42" spans="1:16" x14ac:dyDescent="0.25">
      <c r="A42" t="s">
        <v>423</v>
      </c>
      <c r="B42" t="s">
        <v>29</v>
      </c>
      <c r="C42">
        <v>8</v>
      </c>
      <c r="D42" t="s">
        <v>30</v>
      </c>
      <c r="G42" t="s">
        <v>482</v>
      </c>
      <c r="K42" t="s">
        <v>424</v>
      </c>
      <c r="N42" t="s">
        <v>413</v>
      </c>
    </row>
    <row r="43" spans="1:16" x14ac:dyDescent="0.25">
      <c r="A43" t="s">
        <v>482</v>
      </c>
      <c r="D43" t="s">
        <v>32</v>
      </c>
      <c r="E43">
        <v>30000</v>
      </c>
    </row>
    <row r="44" spans="1:16" x14ac:dyDescent="0.25">
      <c r="N44" t="s">
        <v>419</v>
      </c>
    </row>
    <row r="45" spans="1:16" x14ac:dyDescent="0.25">
      <c r="A45" t="s">
        <v>420</v>
      </c>
      <c r="B45" t="s">
        <v>27</v>
      </c>
      <c r="C45">
        <v>9</v>
      </c>
      <c r="D45" t="s">
        <v>33</v>
      </c>
      <c r="F45">
        <v>60000</v>
      </c>
      <c r="G45" t="s">
        <v>428</v>
      </c>
      <c r="K45" t="s">
        <v>425</v>
      </c>
      <c r="N45" t="s">
        <v>440</v>
      </c>
      <c r="P45" t="s">
        <v>467</v>
      </c>
    </row>
    <row r="46" spans="1:16" x14ac:dyDescent="0.25">
      <c r="A46" t="s">
        <v>438</v>
      </c>
      <c r="D46" t="s">
        <v>32</v>
      </c>
      <c r="E46">
        <v>20000</v>
      </c>
    </row>
    <row r="47" spans="1:16" x14ac:dyDescent="0.25">
      <c r="A47" t="s">
        <v>428</v>
      </c>
      <c r="D47" t="s">
        <v>31</v>
      </c>
      <c r="E47">
        <v>20000</v>
      </c>
      <c r="K47" t="s">
        <v>426</v>
      </c>
    </row>
    <row r="48" spans="1:16" x14ac:dyDescent="0.25">
      <c r="A48" t="s">
        <v>469</v>
      </c>
      <c r="B48" t="s">
        <v>27</v>
      </c>
      <c r="C48">
        <v>9</v>
      </c>
      <c r="D48" t="s">
        <v>30</v>
      </c>
      <c r="G48" t="s">
        <v>482</v>
      </c>
      <c r="H48" t="s">
        <v>438</v>
      </c>
    </row>
    <row r="49" spans="1:13" x14ac:dyDescent="0.25">
      <c r="A49" t="s">
        <v>421</v>
      </c>
      <c r="B49" t="s">
        <v>28</v>
      </c>
      <c r="C49">
        <v>9</v>
      </c>
      <c r="D49" t="s">
        <v>33</v>
      </c>
      <c r="F49">
        <v>90000</v>
      </c>
      <c r="G49" t="s">
        <v>439</v>
      </c>
    </row>
    <row r="50" spans="1:13" x14ac:dyDescent="0.25">
      <c r="A50" t="s">
        <v>431</v>
      </c>
      <c r="D50" t="s">
        <v>32</v>
      </c>
      <c r="E50">
        <v>15000</v>
      </c>
    </row>
    <row r="51" spans="1:13" x14ac:dyDescent="0.25">
      <c r="A51" t="s">
        <v>429</v>
      </c>
      <c r="D51" t="s">
        <v>31</v>
      </c>
      <c r="E51">
        <v>15000</v>
      </c>
    </row>
    <row r="52" spans="1:13" x14ac:dyDescent="0.25">
      <c r="A52" t="s">
        <v>468</v>
      </c>
      <c r="B52" t="s">
        <v>28</v>
      </c>
      <c r="C52">
        <v>9</v>
      </c>
      <c r="D52" t="s">
        <v>30</v>
      </c>
      <c r="H52" t="s">
        <v>431</v>
      </c>
    </row>
    <row r="54" spans="1:13" x14ac:dyDescent="0.25">
      <c r="A54" t="s">
        <v>427</v>
      </c>
      <c r="B54" t="s">
        <v>29</v>
      </c>
      <c r="C54">
        <v>9</v>
      </c>
      <c r="D54" t="s">
        <v>453</v>
      </c>
      <c r="F54">
        <v>120000</v>
      </c>
      <c r="G54" t="s">
        <v>430</v>
      </c>
      <c r="H54" t="s">
        <v>492</v>
      </c>
    </row>
    <row r="55" spans="1:13" x14ac:dyDescent="0.25">
      <c r="A55" t="s">
        <v>430</v>
      </c>
      <c r="D55" t="s">
        <v>31</v>
      </c>
      <c r="E55">
        <v>20000</v>
      </c>
    </row>
    <row r="58" spans="1:13" x14ac:dyDescent="0.25">
      <c r="A58" t="s">
        <v>435</v>
      </c>
      <c r="B58" t="s">
        <v>27</v>
      </c>
      <c r="C58">
        <v>10</v>
      </c>
      <c r="D58" t="s">
        <v>33</v>
      </c>
      <c r="F58">
        <v>90000</v>
      </c>
      <c r="M58">
        <v>20000</v>
      </c>
    </row>
    <row r="59" spans="1:13" x14ac:dyDescent="0.25">
      <c r="A59" t="s">
        <v>433</v>
      </c>
      <c r="B59" t="s">
        <v>27</v>
      </c>
      <c r="C59">
        <v>11</v>
      </c>
      <c r="D59" t="s">
        <v>453</v>
      </c>
    </row>
    <row r="60" spans="1:13" x14ac:dyDescent="0.25">
      <c r="A60" t="s">
        <v>441</v>
      </c>
      <c r="B60" t="s">
        <v>27</v>
      </c>
      <c r="C60">
        <v>11</v>
      </c>
      <c r="D60" t="s">
        <v>453</v>
      </c>
      <c r="E60">
        <v>30000</v>
      </c>
    </row>
    <row r="61" spans="1:13" x14ac:dyDescent="0.25">
      <c r="A61" t="s">
        <v>437</v>
      </c>
      <c r="D61" t="s">
        <v>31</v>
      </c>
      <c r="E61">
        <v>15000</v>
      </c>
      <c r="F61">
        <v>120000</v>
      </c>
    </row>
    <row r="62" spans="1:13" x14ac:dyDescent="0.25">
      <c r="A62" t="s">
        <v>432</v>
      </c>
      <c r="B62" t="s">
        <v>28</v>
      </c>
      <c r="C62">
        <v>11</v>
      </c>
      <c r="D62" t="s">
        <v>33</v>
      </c>
      <c r="F62">
        <v>90000</v>
      </c>
      <c r="M62">
        <v>15000</v>
      </c>
    </row>
    <row r="63" spans="1:13" x14ac:dyDescent="0.25">
      <c r="A63" t="s">
        <v>434</v>
      </c>
      <c r="B63" t="s">
        <v>29</v>
      </c>
      <c r="C63">
        <v>11</v>
      </c>
      <c r="D63" t="s">
        <v>33</v>
      </c>
      <c r="F63">
        <v>120000</v>
      </c>
      <c r="M63">
        <v>6000</v>
      </c>
    </row>
    <row r="64" spans="1:13" x14ac:dyDescent="0.25">
      <c r="A64" t="s">
        <v>436</v>
      </c>
      <c r="B64" t="s">
        <v>28</v>
      </c>
      <c r="C64">
        <v>12</v>
      </c>
      <c r="D64" t="s">
        <v>33</v>
      </c>
      <c r="F64">
        <v>90000</v>
      </c>
      <c r="M64">
        <v>10000</v>
      </c>
    </row>
    <row r="69" spans="1:12" x14ac:dyDescent="0.25">
      <c r="A69" t="s">
        <v>379</v>
      </c>
      <c r="B69" t="s">
        <v>27</v>
      </c>
      <c r="C69">
        <v>1</v>
      </c>
      <c r="D69" t="s">
        <v>33</v>
      </c>
    </row>
    <row r="70" spans="1:12" x14ac:dyDescent="0.25">
      <c r="A70" t="s">
        <v>443</v>
      </c>
      <c r="B70" t="s">
        <v>28</v>
      </c>
      <c r="C70">
        <v>1</v>
      </c>
      <c r="D70" t="s">
        <v>33</v>
      </c>
    </row>
    <row r="71" spans="1:12" x14ac:dyDescent="0.25">
      <c r="A71" t="s">
        <v>444</v>
      </c>
      <c r="B71" t="s">
        <v>27</v>
      </c>
      <c r="C71">
        <v>2</v>
      </c>
      <c r="D71" t="s">
        <v>33</v>
      </c>
    </row>
    <row r="72" spans="1:12" x14ac:dyDescent="0.25">
      <c r="A72" t="s">
        <v>442</v>
      </c>
      <c r="B72" t="s">
        <v>28</v>
      </c>
      <c r="C72">
        <v>3</v>
      </c>
    </row>
    <row r="75" spans="1:12" x14ac:dyDescent="0.25">
      <c r="A75" t="s">
        <v>484</v>
      </c>
      <c r="G75" t="s">
        <v>486</v>
      </c>
      <c r="H75" t="s">
        <v>487</v>
      </c>
      <c r="K75" t="s">
        <v>470</v>
      </c>
    </row>
    <row r="76" spans="1:12" x14ac:dyDescent="0.25">
      <c r="A76" t="s">
        <v>485</v>
      </c>
      <c r="G76" t="s">
        <v>487</v>
      </c>
      <c r="H76" t="s">
        <v>486</v>
      </c>
      <c r="K76" t="s">
        <v>470</v>
      </c>
    </row>
    <row r="77" spans="1:12" x14ac:dyDescent="0.25">
      <c r="A77" t="s">
        <v>486</v>
      </c>
      <c r="E77">
        <v>3600000</v>
      </c>
    </row>
    <row r="78" spans="1:12" x14ac:dyDescent="0.25">
      <c r="A78" t="s">
        <v>487</v>
      </c>
      <c r="E78">
        <v>3600000</v>
      </c>
    </row>
    <row r="80" spans="1:12" x14ac:dyDescent="0.25">
      <c r="L80" t="s">
        <v>483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PLD</vt:lpstr>
      <vt:lpstr>GNB</vt:lpstr>
      <vt:lpstr>DRK</vt:lpstr>
      <vt:lpstr>SMN</vt:lpstr>
      <vt:lpstr>SCH</vt:lpstr>
      <vt:lpstr>BRD</vt:lpstr>
      <vt:lpstr>DNC</vt:lpstr>
      <vt:lpstr>MNK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powy</dc:creator>
  <cp:lastModifiedBy>Thierry DURAND</cp:lastModifiedBy>
  <dcterms:created xsi:type="dcterms:W3CDTF">2015-06-05T18:19:34Z</dcterms:created>
  <dcterms:modified xsi:type="dcterms:W3CDTF">2025-06-06T16:01:20Z</dcterms:modified>
</cp:coreProperties>
</file>